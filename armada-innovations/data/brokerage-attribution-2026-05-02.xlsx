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bution Flow" sheetId="1" state="visible" r:id="rId1"/>
    <sheet xmlns:r="http://schemas.openxmlformats.org/officeDocument/2006/relationships" name="Earnings Detail" sheetId="2" state="visible" r:id="rId2"/>
    <sheet xmlns:r="http://schemas.openxmlformats.org/officeDocument/2006/relationships" name="Note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4A5568"/>
      <sz val="10"/>
    </font>
    <font>
      <b val="1"/>
      <color rgb="00FFFFFF"/>
      <sz val="11"/>
    </font>
    <font>
      <b val="1"/>
      <sz val="11"/>
    </font>
    <font>
      <sz val="11"/>
    </font>
  </fonts>
  <fills count="9">
    <fill>
      <patternFill/>
    </fill>
    <fill>
      <patternFill patternType="gray125"/>
    </fill>
    <fill>
      <patternFill patternType="solid">
        <fgColor rgb="001A2236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DE9FE"/>
      </patternFill>
    </fill>
    <fill>
      <patternFill patternType="solid">
        <fgColor rgb="002A355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4" fontId="0" fillId="3" borderId="1" pivotButton="0" quotePrefix="0" xfId="0"/>
    <xf numFmtId="0" fontId="4" fillId="4" borderId="1" pivotButton="0" quotePrefix="0" xfId="0"/>
    <xf numFmtId="164" fontId="0" fillId="4" borderId="1" pivotButton="0" quotePrefix="0" xfId="0"/>
    <xf numFmtId="0" fontId="4" fillId="5" borderId="1" pivotButton="0" quotePrefix="0" xfId="0"/>
    <xf numFmtId="164" fontId="0" fillId="5" borderId="1" pivotButton="0" quotePrefix="0" xfId="0"/>
    <xf numFmtId="0" fontId="4" fillId="6" borderId="1" pivotButton="0" quotePrefix="0" xfId="0"/>
    <xf numFmtId="164" fontId="0" fillId="6" borderId="1" pivotButton="0" quotePrefix="0" xfId="0"/>
    <xf numFmtId="0" fontId="5" fillId="0" borderId="1" pivotButton="0" quotePrefix="0" xfId="0"/>
    <xf numFmtId="164" fontId="0" fillId="0" borderId="1" pivotButton="0" quotePrefix="0" xfId="0"/>
    <xf numFmtId="0" fontId="3" fillId="7" borderId="1" pivotButton="0" quotePrefix="0" xfId="0"/>
    <xf numFmtId="164" fontId="3" fillId="7" borderId="1" pivotButton="0" quotePrefix="0" xfId="0"/>
    <xf numFmtId="0" fontId="4" fillId="8" borderId="1" pivotButton="0" quotePrefix="0" xfId="0"/>
    <xf numFmtId="0" fontId="0" fillId="0" borderId="1" pivotButton="0" quotePrefix="0" xfId="0"/>
    <xf numFmtId="164" fontId="4" fillId="8" borderId="1" pivotButton="0" quotePrefix="0" xfId="0"/>
    <xf numFmtId="0" fontId="4" fillId="0" borderId="0" pivotButton="0" quotePrefix="0" xfId="0"/>
    <xf numFmtId="164" fontId="0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Armada Capital Group LLP — Brokerage Attribution</t>
        </is>
      </c>
    </row>
    <row r="2">
      <c r="A2" s="2" t="inlineStr">
        <is>
          <t>As of May 2, 2026 · Brokerage value $10,519,780</t>
        </is>
      </c>
    </row>
    <row r="3">
      <c r="A3" s="2" t="inlineStr">
        <is>
          <t>GP rule: Innovations LLC sweeps its monthly distribution at the start of the next month.</t>
        </is>
      </c>
    </row>
    <row r="4">
      <c r="A4" s="2" t="inlineStr">
        <is>
          <t>Mar GP $3,720 swept Apr 1 (Innovations had $0 in fund during April).  Apr GP $119,586.23 sits in brokerage today, sweeps at start of May.</t>
        </is>
      </c>
    </row>
    <row r="6" ht="42" customHeight="1">
      <c r="A6" s="3" t="inlineStr">
        <is>
          <t>Party</t>
        </is>
      </c>
      <c r="B6" s="3" t="inlineStr">
        <is>
          <t>Capital Contributed</t>
        </is>
      </c>
      <c r="C6" s="3" t="inlineStr">
        <is>
          <t>Mar 31 Bal
(= Apr 1 Beg)</t>
        </is>
      </c>
      <c r="D6" s="3" t="inlineStr">
        <is>
          <t>+ Apr Activity
(net of fees)</t>
        </is>
      </c>
      <c r="E6" s="3" t="inlineStr">
        <is>
          <t>+ May Wire
(advance)</t>
        </is>
      </c>
      <c r="F6" s="3" t="inlineStr">
        <is>
          <t>Current Balance
(May 2)</t>
        </is>
      </c>
    </row>
    <row r="7">
      <c r="A7" s="4" t="inlineStr">
        <is>
          <t>Bliss Investments LLC</t>
        </is>
      </c>
      <c r="B7" s="5" t="n">
        <v>500000</v>
      </c>
      <c r="C7" s="5" t="n">
        <v>508472</v>
      </c>
      <c r="D7" s="5" t="n">
        <v>16636.19</v>
      </c>
      <c r="E7" s="5" t="n">
        <v>0</v>
      </c>
      <c r="F7" s="5" t="n">
        <v>525108.1899999999</v>
      </c>
    </row>
    <row r="8">
      <c r="A8" s="4" t="inlineStr">
        <is>
          <t>JJNA, LLC</t>
        </is>
      </c>
      <c r="B8" s="5" t="n">
        <v>8000000</v>
      </c>
      <c r="C8" s="5" t="n">
        <v>8020000</v>
      </c>
      <c r="D8" s="5" t="n">
        <v>262398.36</v>
      </c>
      <c r="E8" s="5" t="n">
        <v>0</v>
      </c>
      <c r="F8" s="5" t="n">
        <v>8282398.36</v>
      </c>
    </row>
    <row r="9">
      <c r="A9" s="6" t="inlineStr">
        <is>
          <t>New May Investors</t>
        </is>
      </c>
      <c r="B9" s="7" t="n">
        <v>1499728</v>
      </c>
      <c r="C9" s="7" t="n">
        <v>0</v>
      </c>
      <c r="D9" s="7" t="n">
        <v>0</v>
      </c>
      <c r="E9" s="7" t="n">
        <v>1499728</v>
      </c>
      <c r="F9" s="7" t="n">
        <v>1499728</v>
      </c>
    </row>
    <row r="10">
      <c r="A10" s="8" t="inlineStr">
        <is>
          <t>TruQuant (accrued payable)</t>
        </is>
      </c>
      <c r="B10" s="9" t="n">
        <v>0</v>
      </c>
      <c r="C10" s="9" t="n">
        <v>0</v>
      </c>
      <c r="D10" s="9" t="n">
        <v>87502.12</v>
      </c>
      <c r="E10" s="9" t="n">
        <v>0</v>
      </c>
      <c r="F10" s="9" t="n">
        <v>87502.12</v>
      </c>
    </row>
    <row r="11">
      <c r="A11" s="10" t="inlineStr">
        <is>
          <t>Innovations GP (Apr accrual, awaiting May sweep)</t>
        </is>
      </c>
      <c r="B11" s="11" t="n">
        <v>0</v>
      </c>
      <c r="C11" s="11" t="n">
        <v>0</v>
      </c>
      <c r="D11" s="11" t="n">
        <v>119586.23</v>
      </c>
      <c r="E11" s="11" t="n">
        <v>0</v>
      </c>
      <c r="F11" s="11" t="n">
        <v>119586.23</v>
      </c>
    </row>
    <row r="12">
      <c r="A12" s="12" t="inlineStr">
        <is>
          <t>Bank-fee cash carry</t>
        </is>
      </c>
      <c r="B12" s="13" t="n">
        <v>0</v>
      </c>
      <c r="C12" s="13" t="n">
        <v>-135.9</v>
      </c>
      <c r="D12" s="13" t="n">
        <v>0</v>
      </c>
      <c r="E12" s="13" t="n">
        <v>0</v>
      </c>
      <c r="F12" s="13" t="n">
        <v>-135.9</v>
      </c>
    </row>
    <row r="13">
      <c r="A13" s="14" t="inlineStr">
        <is>
          <t>TOTAL ATTRIBUTED</t>
        </is>
      </c>
      <c r="B13" s="15">
        <f>SUM(B7:B12)</f>
        <v/>
      </c>
      <c r="C13" s="15">
        <f>SUM(C7:C12)</f>
        <v/>
      </c>
      <c r="D13" s="15">
        <f>SUM(D7:D12)</f>
        <v/>
      </c>
      <c r="E13" s="15">
        <f>SUM(E7:E12)</f>
        <v/>
      </c>
      <c r="F13" s="15">
        <f>SUM(F7:F12)</f>
        <v/>
      </c>
    </row>
    <row r="14">
      <c r="A14" s="16" t="inlineStr">
        <is>
          <t>Brokerage actual (live)</t>
        </is>
      </c>
      <c r="B14" s="17" t="n"/>
      <c r="C14" s="17" t="n"/>
      <c r="D14" s="17" t="n"/>
      <c r="E14" s="17" t="n"/>
      <c r="F14" s="18" t="n">
        <v>10519780</v>
      </c>
    </row>
    <row r="15">
      <c r="A15" s="16" t="inlineStr">
        <is>
          <t>LEFTOVER (≈3 days fund growth)</t>
        </is>
      </c>
      <c r="B15" s="17" t="n"/>
      <c r="C15" s="17" t="n"/>
      <c r="D15" s="17" t="n"/>
      <c r="E15" s="17" t="n"/>
      <c r="F15" s="18">
        <f>F14-F13</f>
        <v/>
      </c>
    </row>
    <row r="17">
      <c r="A17" s="2" t="inlineStr">
        <is>
          <t>Tie-out: Mar 31 base + Apr activity + May advance = Current Balance</t>
        </is>
      </c>
    </row>
    <row r="19">
      <c r="A19" s="19" t="inlineStr">
        <is>
          <t>Already paid out (not in current brokerage):</t>
        </is>
      </c>
    </row>
    <row r="20">
      <c r="A20" s="2" t="inlineStr">
        <is>
          <t xml:space="preserve">   Mar 2026 GP distribution $3,720 swept Apr 1 to Innovations bank — Nairne $2,232.00 / Alec $1,469.40 / Chris $18.60</t>
        </is>
      </c>
    </row>
  </sheetData>
  <mergeCells count="7">
    <mergeCell ref="A2:F2"/>
    <mergeCell ref="A19:F19"/>
    <mergeCell ref="A1:F1"/>
    <mergeCell ref="A17:F17"/>
    <mergeCell ref="A4:F4"/>
    <mergeCell ref="A3:F3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3" max="3"/>
  </cols>
  <sheetData>
    <row r="1">
      <c r="A1" s="1" t="inlineStr">
        <is>
          <t>Earnings Breakdown — How Each Balance Got There</t>
        </is>
      </c>
    </row>
    <row r="3">
      <c r="A3" s="19" t="inlineStr">
        <is>
          <t>Bliss Investments LLC</t>
        </is>
      </c>
    </row>
    <row r="4">
      <c r="A4" t="inlineStr">
        <is>
          <t xml:space="preserve">   Capital contributed (Feb 26)</t>
        </is>
      </c>
      <c r="B4" s="20" t="n">
        <v>500000</v>
      </c>
    </row>
    <row r="5">
      <c r="A5" t="inlineStr">
        <is>
          <t xml:space="preserve">   + Mar 2026 net allocation</t>
        </is>
      </c>
      <c r="B5" s="20" t="n">
        <v>8472</v>
      </c>
      <c r="C5" t="inlineStr">
        <is>
          <t>PCAS-confirmed</t>
        </is>
      </c>
    </row>
    <row r="6">
      <c r="A6" t="inlineStr">
        <is>
          <t xml:space="preserve">   + Apr 2026 LP cut (5.96% of LP slice)</t>
        </is>
      </c>
      <c r="B6" s="20" t="n">
        <v>16636.19</v>
      </c>
    </row>
    <row r="7">
      <c r="A7" t="inlineStr">
        <is>
          <t xml:space="preserve">   = Current balance</t>
        </is>
      </c>
      <c r="B7" s="21">
        <f>B4+B5+B6</f>
        <v/>
      </c>
    </row>
    <row r="9">
      <c r="A9" s="19" t="inlineStr">
        <is>
          <t>JJNA, LLC</t>
        </is>
      </c>
    </row>
    <row r="10">
      <c r="A10" t="inlineStr">
        <is>
          <t xml:space="preserve">   Capital contributed (Mar 5 receive in advance, Apr 1 formal close)</t>
        </is>
      </c>
      <c r="B10" s="20" t="n">
        <v>8000000</v>
      </c>
    </row>
    <row r="11">
      <c r="A11" t="inlineStr">
        <is>
          <t xml:space="preserve">   + Mar 2026 net allocation</t>
        </is>
      </c>
      <c r="B11" s="20" t="n">
        <v>20000</v>
      </c>
      <c r="C11" t="inlineStr">
        <is>
          <t>PCAS-confirmed</t>
        </is>
      </c>
    </row>
    <row r="12">
      <c r="A12" t="inlineStr">
        <is>
          <t xml:space="preserve">   + Apr 2026 LP cut (94.04% of LP slice)</t>
        </is>
      </c>
      <c r="B12" s="20" t="n">
        <v>262398.36</v>
      </c>
    </row>
    <row r="13">
      <c r="A13" t="inlineStr">
        <is>
          <t xml:space="preserve">   = Current balance</t>
        </is>
      </c>
      <c r="B13" s="21">
        <f>B10+B11+B12</f>
        <v/>
      </c>
    </row>
    <row r="15">
      <c r="A15" s="19" t="inlineStr">
        <is>
          <t>TruQuant (no LP capital, just performance fee)</t>
        </is>
      </c>
    </row>
    <row r="16">
      <c r="A16" t="inlineStr">
        <is>
          <t xml:space="preserve">   Mar 2026 fee</t>
        </is>
      </c>
      <c r="B16" s="20" t="n">
        <v>0</v>
      </c>
      <c r="C16" t="inlineStr">
        <is>
          <t>No fee accrued in March</t>
        </is>
      </c>
    </row>
    <row r="17">
      <c r="A17" t="inlineStr">
        <is>
          <t xml:space="preserve">   Apr 2026 fee (18% of $486,122.90 gross)</t>
        </is>
      </c>
      <c r="B17" s="20" t="n">
        <v>87502.12</v>
      </c>
    </row>
    <row r="18">
      <c r="A18" t="inlineStr">
        <is>
          <t xml:space="preserve">   = Current accrued balance</t>
        </is>
      </c>
      <c r="B18" s="21">
        <f>B16+B17</f>
        <v/>
      </c>
    </row>
    <row r="20">
      <c r="A20" s="19" t="inlineStr">
        <is>
          <t>Armada Innovations LLC (GP carry — sweeps monthly)</t>
        </is>
      </c>
    </row>
    <row r="21">
      <c r="A21" t="inlineStr">
        <is>
          <t xml:space="preserve">   Mar 2026 GP distribution</t>
        </is>
      </c>
      <c r="B21" s="20" t="n">
        <v>3720</v>
      </c>
      <c r="C21" t="inlineStr">
        <is>
          <t>Swept Apr 1 to Innovations bank</t>
        </is>
      </c>
    </row>
    <row r="22">
      <c r="A22" t="inlineStr">
        <is>
          <t xml:space="preserve">   Apr 2026 GP distribution</t>
        </is>
      </c>
      <c r="B22" s="20" t="n">
        <v>119586.23</v>
      </c>
      <c r="C22" t="inlineStr">
        <is>
          <t>Sits in brokerage today, sweeps at start of May</t>
        </is>
      </c>
    </row>
    <row r="23">
      <c r="A23" t="inlineStr">
        <is>
          <t xml:space="preserve">   ITD total earned</t>
        </is>
      </c>
      <c r="B23" s="21">
        <f>B21+B22</f>
        <v/>
      </c>
    </row>
    <row r="24">
      <c r="A24" t="inlineStr">
        <is>
          <t xml:space="preserve">   Sitting in brokerage today</t>
        </is>
      </c>
      <c r="B24" s="20">
        <f>B22</f>
        <v/>
      </c>
    </row>
    <row r="26">
      <c r="A26" s="19" t="inlineStr">
        <is>
          <t xml:space="preserve">   Innovations LLC member splits (60/39.5/0.5):</t>
        </is>
      </c>
    </row>
    <row r="27">
      <c r="A27" t="inlineStr">
        <is>
          <t xml:space="preserve">      Nairne (60%) ITD</t>
        </is>
      </c>
      <c r="B27" s="20">
        <f>B23*0.6</f>
        <v/>
      </c>
    </row>
    <row r="28">
      <c r="A28" t="inlineStr">
        <is>
          <t xml:space="preserve">      Alec (39.5%) ITD</t>
        </is>
      </c>
      <c r="B28" s="20">
        <f>B23*0.395</f>
        <v/>
      </c>
    </row>
    <row r="29">
      <c r="A29" t="inlineStr">
        <is>
          <t xml:space="preserve">      Chris (0.5%) ITD</t>
        </is>
      </c>
      <c r="B29" s="20">
        <f>B23*0.005</f>
        <v/>
      </c>
    </row>
    <row r="31">
      <c r="A31" s="19" t="inlineStr">
        <is>
          <t>New May Investors</t>
        </is>
      </c>
    </row>
    <row r="32">
      <c r="A32" t="inlineStr">
        <is>
          <t xml:space="preserve">   Capital received in advance (late April)</t>
        </is>
      </c>
      <c r="B32" s="20" t="n">
        <v>1499728</v>
      </c>
    </row>
    <row r="33">
      <c r="A33" t="inlineStr">
        <is>
          <t xml:space="preserve">   Earnings (start in May)</t>
        </is>
      </c>
      <c r="B33" s="20" t="n">
        <v>0</v>
      </c>
    </row>
    <row r="34">
      <c r="A34" t="inlineStr">
        <is>
          <t xml:space="preserve">   = Current balance</t>
        </is>
      </c>
      <c r="B34" s="21">
        <f>B32+B33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Source Notes</t>
        </is>
      </c>
    </row>
    <row r="2">
      <c r="A2" t="inlineStr"/>
    </row>
    <row r="3">
      <c r="A3" s="19" t="inlineStr">
        <is>
          <t>Brokerage value as of May 2, 2026: $10,519,780 (provided by Nairne)</t>
        </is>
      </c>
    </row>
    <row r="4">
      <c r="A4" t="inlineStr"/>
    </row>
    <row r="5">
      <c r="A5" s="19" t="inlineStr">
        <is>
          <t>Sources for each capital contribution:</t>
        </is>
      </c>
    </row>
    <row r="6">
      <c r="A6" t="inlineStr">
        <is>
          <t xml:space="preserve">  Bliss Investments LLC ($500,000) — wired Feb 26, 2026; deployed same day. Confirmed by March PCAS partner statement.</t>
        </is>
      </c>
    </row>
    <row r="7">
      <c r="A7" t="inlineStr">
        <is>
          <t xml:space="preserve">  JJNA, LLC ($8,000,000) — wired Mar 5, 2026 (received in advance); deployed Mar 6 to Undeployed Capital sleeve.</t>
        </is>
      </c>
    </row>
    <row r="8">
      <c r="A8" t="inlineStr">
        <is>
          <t xml:space="preserve">    Formal capital close: April 1, 2026 (April 2026 tranche). Confirmed by March PCAS partner statement.</t>
        </is>
      </c>
    </row>
    <row r="9">
      <c r="A9" t="inlineStr">
        <is>
          <t xml:space="preserve">  New May Investors ($1,499,728) — received in advance late April, earnings start May 2026.</t>
        </is>
      </c>
    </row>
    <row r="10">
      <c r="A10" t="inlineStr"/>
    </row>
    <row r="11">
      <c r="A11" s="19" t="inlineStr">
        <is>
          <t>April 2026 waterfall (per Nairne):</t>
        </is>
      </c>
    </row>
    <row r="12">
      <c r="A12" t="inlineStr">
        <is>
          <t xml:space="preserve">  Gross fund return: 5.70% on $8,528,472 LP base = $486,122.90</t>
        </is>
      </c>
    </row>
    <row r="13">
      <c r="A13" t="inlineStr">
        <is>
          <t xml:space="preserve">  Split: 18% TruQuant (traders) / 82% Armada Capital Group (split 70/30 between investors and GP)</t>
        </is>
      </c>
    </row>
    <row r="14">
      <c r="A14" t="inlineStr">
        <is>
          <t xml:space="preserve">  → 18% TruQuant ($87,502.12) / 57.4% LPs ($279,034.55) / 24.6% GP ($119,586.23)</t>
        </is>
      </c>
    </row>
    <row r="15">
      <c r="A15" t="inlineStr">
        <is>
          <t xml:space="preserve">  LP allocation pro-rata by beginning balance: Bliss 5.96% / JJNA 94.04%</t>
        </is>
      </c>
    </row>
    <row r="16">
      <c r="A16" t="inlineStr"/>
    </row>
    <row r="17">
      <c r="A17" s="19" t="inlineStr">
        <is>
          <t>Innovations LLC distribution (Mar+Apr accrued = $123,306.23):</t>
        </is>
      </c>
    </row>
    <row r="18">
      <c r="A18" t="inlineStr">
        <is>
          <t xml:space="preserve">  Member split: Nairne 60% / Alec 39.5% / Chris 0.5%</t>
        </is>
      </c>
    </row>
    <row r="19">
      <c r="A19" t="inlineStr">
        <is>
          <t xml:space="preserve">  Sweep timing: paid out at start of each month (Mar GP swept Apr 1, Apr GP sweeps May 1)</t>
        </is>
      </c>
    </row>
    <row r="20">
      <c r="A20" t="inlineStr"/>
    </row>
    <row r="21">
      <c r="A21" s="19" t="inlineStr">
        <is>
          <t>Reconciliation:</t>
        </is>
      </c>
    </row>
    <row r="22">
      <c r="A22" t="inlineStr">
        <is>
          <t xml:space="preserve">  Total attributed: $10,514,187.00</t>
        </is>
      </c>
    </row>
    <row r="23">
      <c r="A23" t="inlineStr">
        <is>
          <t xml:space="preserve">  Brokerage actual: $10,519,780.00</t>
        </is>
      </c>
    </row>
    <row r="24">
      <c r="A24" t="inlineStr">
        <is>
          <t xml:space="preserve">  Leftover: $5,593.00 (≈3 days of fund growth between Apr 30 close and today)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2026-05-02T06:16:04Z</dcterms:created>
  <dcterms:modified xmlns:dcterms="http://purl.org/dc/terms/" xmlns:xsi="http://www.w3.org/2001/XMLSchema-instance" xsi:type="dcterms:W3CDTF">2026-05-02T06:16:04Z</dcterms:modified>
</cp:coreProperties>
</file>