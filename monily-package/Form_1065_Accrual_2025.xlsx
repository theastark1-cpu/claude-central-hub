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 &amp; Filing Info" sheetId="1" state="visible" r:id="rId1"/>
    <sheet xmlns:r="http://schemas.openxmlformats.org/officeDocument/2006/relationships" name="2. Form 1065 Page 1" sheetId="2" state="visible" r:id="rId2"/>
    <sheet xmlns:r="http://schemas.openxmlformats.org/officeDocument/2006/relationships" name="3. Schedule K" sheetId="3" state="visible" r:id="rId3"/>
    <sheet xmlns:r="http://schemas.openxmlformats.org/officeDocument/2006/relationships" name="4. K-1 Nairne" sheetId="4" state="visible" r:id="rId4"/>
    <sheet xmlns:r="http://schemas.openxmlformats.org/officeDocument/2006/relationships" name="5. K-1 Raj Duggal" sheetId="5" state="visible" r:id="rId5"/>
    <sheet xmlns:r="http://schemas.openxmlformats.org/officeDocument/2006/relationships" name="6. K-1 Phil" sheetId="6" state="visible" r:id="rId6"/>
    <sheet xmlns:r="http://schemas.openxmlformats.org/officeDocument/2006/relationships" name="7. Schedule L" sheetId="7" state="visible" r:id="rId7"/>
    <sheet xmlns:r="http://schemas.openxmlformats.org/officeDocument/2006/relationships" name="8. Schedule M-1" sheetId="8" state="visible" r:id="rId8"/>
    <sheet xmlns:r="http://schemas.openxmlformats.org/officeDocument/2006/relationships" name="9. Schedule M-2" sheetId="9" state="visible" r:id="rId9"/>
    <sheet xmlns:r="http://schemas.openxmlformats.org/officeDocument/2006/relationships" name="10. 1099 Detail" sheetId="10" state="visible" r:id="rId10"/>
    <sheet xmlns:r="http://schemas.openxmlformats.org/officeDocument/2006/relationships" name="11. Op Expenses 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3"/>
    </font>
    <font>
      <i val="1"/>
      <color rgb="00666666"/>
    </font>
    <font>
      <b val="1"/>
    </font>
    <font>
      <b val="1"/>
      <color rgb="00FFFFFF"/>
      <sz val="12"/>
    </font>
    <font>
      <b val="1"/>
      <color rgb="0000703C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305496"/>
        <bgColor rgb="00305496"/>
      </patternFill>
    </fill>
    <fill>
      <patternFill patternType="solid">
        <fgColor rgb="001F4E79"/>
        <bgColor rgb="001F4E79"/>
      </patternFill>
    </fill>
    <fill>
      <patternFill patternType="solid">
        <fgColor rgb="00E8F4FD"/>
        <bgColor rgb="00E8F4F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164" fontId="4" fillId="2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164" fontId="0" fillId="6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wrapText="1"/>
    </xf>
    <xf numFmtId="0" fontId="4" fillId="7" borderId="0" pivotButton="0" quotePrefix="0" xfId="0"/>
    <xf numFmtId="164" fontId="4" fillId="7" borderId="0" pivotButton="0" quotePrefix="0" xfId="0"/>
    <xf numFmtId="0" fontId="4" fillId="7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164" fontId="0" fillId="3" borderId="0" pivotButton="0" quotePrefix="0" xfId="0"/>
    <xf numFmtId="0" fontId="0" fillId="3" borderId="0" applyAlignment="1" pivotButton="0" quotePrefix="0" xfId="0">
      <alignment wrapText="1"/>
    </xf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3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Cover &amp; Filing Info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4" t="inlineStr">
        <is>
          <t>Entity Name</t>
        </is>
      </c>
      <c r="B5" t="inlineStr">
        <is>
          <t>Armada Prime Tech LLC</t>
        </is>
      </c>
    </row>
    <row r="6">
      <c r="A6" s="4" t="inlineStr">
        <is>
          <t>Tax Year</t>
        </is>
      </c>
      <c r="B6" t="inlineStr">
        <is>
          <t>2025</t>
        </is>
      </c>
    </row>
    <row r="7">
      <c r="A7" s="4" t="inlineStr">
        <is>
          <t>Tax Form</t>
        </is>
      </c>
      <c r="B7" t="inlineStr">
        <is>
          <t>Form 1065 (U.S. Return of Partnership Income)</t>
        </is>
      </c>
    </row>
    <row r="8">
      <c r="A8" s="5" t="inlineStr">
        <is>
          <t>Accounting Method</t>
        </is>
      </c>
      <c r="B8" s="5" t="inlineStr">
        <is>
          <t>★ ACCRUAL (recommended for tax minimization)</t>
        </is>
      </c>
      <c r="C8" s="5" t="n"/>
      <c r="D8" s="5" t="n"/>
    </row>
    <row r="9">
      <c r="A9" s="4" t="inlineStr">
        <is>
          <t>Period of Operations</t>
        </is>
      </c>
      <c r="B9" t="inlineStr">
        <is>
          <t>Aug 1, 2025 – Dec 31, 2025</t>
        </is>
      </c>
    </row>
    <row r="10">
      <c r="A10" s="4" t="inlineStr">
        <is>
          <t>Filing Status</t>
        </is>
      </c>
      <c r="B10" t="inlineStr">
        <is>
          <t>First year of filing</t>
        </is>
      </c>
    </row>
    <row r="11">
      <c r="A11" s="4" t="inlineStr">
        <is>
          <t>Tax Classification</t>
        </is>
      </c>
      <c r="B11" t="inlineStr">
        <is>
          <t>Multi-member LLC, taxed as partnership</t>
        </is>
      </c>
    </row>
    <row r="12">
      <c r="A12" s="4" t="inlineStr">
        <is>
          <t>Number of Partners (K-1 recipients)</t>
        </is>
      </c>
      <c r="B12" t="inlineStr">
        <is>
          <t>3</t>
        </is>
      </c>
    </row>
    <row r="13">
      <c r="A13" s="4" t="inlineStr">
        <is>
          <t>Number of 1099-NEC Contractors</t>
        </is>
      </c>
      <c r="B13" t="inlineStr">
        <is>
          <t>6 (Alec, Jake, AJ, Issac, Luke, Nikki) + Chris</t>
        </is>
      </c>
    </row>
    <row r="14">
      <c r="A14" s="6" t="inlineStr">
        <is>
          <t>EIN</t>
        </is>
      </c>
      <c r="B14" s="7" t="inlineStr">
        <is>
          <t>⚠️ TO PROVIDE</t>
        </is>
      </c>
      <c r="C14" s="7" t="n"/>
      <c r="D14" s="7" t="n"/>
    </row>
    <row r="15">
      <c r="A15" s="6" t="inlineStr">
        <is>
          <t>State of Formation</t>
        </is>
      </c>
      <c r="B15" s="7" t="inlineStr">
        <is>
          <t>⚠️ TO PROVIDE</t>
        </is>
      </c>
      <c r="C15" s="7" t="n"/>
      <c r="D15" s="7" t="n"/>
    </row>
    <row r="16">
      <c r="A16" s="6" t="inlineStr">
        <is>
          <t>Business Address</t>
        </is>
      </c>
      <c r="B16" s="7" t="inlineStr">
        <is>
          <t>⚠️ TO PROVIDE</t>
        </is>
      </c>
      <c r="C16" s="7" t="n"/>
      <c r="D16" s="7" t="n"/>
    </row>
    <row r="17">
      <c r="A17" s="6" t="inlineStr">
        <is>
          <t>Phone / Email</t>
        </is>
      </c>
      <c r="B17" s="7" t="inlineStr">
        <is>
          <t>⚠️ TO PROVIDE</t>
        </is>
      </c>
      <c r="C17" s="7" t="n"/>
      <c r="D17" s="7" t="n"/>
    </row>
    <row r="19">
      <c r="A19" s="8" t="inlineStr">
        <is>
          <t>TAX-OPTIMIZED METHOD CHOICES</t>
        </is>
      </c>
    </row>
    <row r="20" ht="35" customHeight="1">
      <c r="A20" s="4" t="inlineStr">
        <is>
          <t>Accounting Method</t>
        </is>
      </c>
      <c r="B20" s="9" t="inlineStr">
        <is>
          <t>ACCRUAL</t>
        </is>
      </c>
      <c r="C20" s="10" t="inlineStr">
        <is>
          <t>Recognize Dec 2025 expenses in 2025 (when only 5 months of revenue). Defer income recognition compared to ad-hoc cash treatment of late-arriving wires.</t>
        </is>
      </c>
    </row>
    <row r="21" ht="35" customHeight="1">
      <c r="A21" s="4" t="inlineStr">
        <is>
          <t>Insurance Treatment</t>
        </is>
      </c>
      <c r="B21" s="9" t="inlineStr">
        <is>
          <t>Full $18K deducted in 2025</t>
        </is>
      </c>
      <c r="C21" s="10" t="inlineStr">
        <is>
          <t>12-month prepaid rule (IRS Pub 535) allows full deduction of prepaid expenses with benefit period ≤12 months from payment.</t>
        </is>
      </c>
    </row>
    <row r="22" ht="35" customHeight="1">
      <c r="A22" s="4" t="inlineStr">
        <is>
          <t>506c SPV Loans Treatment</t>
        </is>
      </c>
      <c r="B22" s="9" t="inlineStr">
        <is>
          <t>Reclassified to Balance Sheet (Asset)</t>
        </is>
      </c>
      <c r="C22" s="10" t="inlineStr">
        <is>
          <t>$4,275 in SPV Loan disbursements are loan receivables / equity investments — NOT P&amp;L expenses.</t>
        </is>
      </c>
    </row>
    <row r="23" ht="35" customHeight="1">
      <c r="A23" s="4" t="inlineStr">
        <is>
          <t>Phil's 0.5% Slice</t>
        </is>
      </c>
      <c r="B23" s="9" t="inlineStr">
        <is>
          <t>K-1 Partner (NOT 1099 contractor)</t>
        </is>
      </c>
      <c r="C23" s="10" t="inlineStr">
        <is>
          <t>Per Nairne 2026-05-05 — Phil is a partner; his slice is a partner allocation, not a contractor expense.</t>
        </is>
      </c>
    </row>
    <row r="25">
      <c r="A25" s="8" t="inlineStr">
        <is>
          <t>HEADLINE — FORM 1065 PAGE 1 RESULT</t>
        </is>
      </c>
    </row>
    <row r="26">
      <c r="A26" s="5" t="inlineStr">
        <is>
          <t>Total Revenue (Line 8)</t>
        </is>
      </c>
      <c r="B26" s="11" t="n">
        <v>153023.03</v>
      </c>
      <c r="C26" s="5" t="n"/>
      <c r="D26" s="5" t="n"/>
    </row>
    <row r="27">
      <c r="A27" s="5" t="inlineStr">
        <is>
          <t>Total Deductions (Line 21)</t>
        </is>
      </c>
      <c r="B27" s="11" t="n">
        <v>137704.81</v>
      </c>
      <c r="C27" s="5" t="n"/>
      <c r="D27" s="5" t="n"/>
    </row>
    <row r="28">
      <c r="A28" s="5" t="inlineStr">
        <is>
          <t>Ordinary Business Income (Line 22)</t>
        </is>
      </c>
      <c r="B28" s="11" t="n">
        <v>15318.22</v>
      </c>
      <c r="C28" s="5" t="n"/>
      <c r="D28" s="5" t="n"/>
    </row>
    <row r="30">
      <c r="A30" s="8" t="inlineStr">
        <is>
          <t>K-1 PARTNERS (3 partners)</t>
        </is>
      </c>
    </row>
    <row r="31">
      <c r="A31" s="12" t="inlineStr">
        <is>
          <t>Partner</t>
        </is>
      </c>
      <c r="B31" s="12" t="inlineStr">
        <is>
          <t>Ownership %</t>
        </is>
      </c>
      <c r="C31" s="12" t="inlineStr">
        <is>
          <t>K-1 Box 1 Ordinary Income</t>
        </is>
      </c>
      <c r="D31" s="12" t="inlineStr">
        <is>
          <t>Cash Distributions</t>
        </is>
      </c>
    </row>
    <row r="32">
      <c r="A32" s="13" t="inlineStr">
        <is>
          <t>Nairne</t>
        </is>
      </c>
      <c r="B32" s="13" t="inlineStr">
        <is>
          <t>96.8000%</t>
        </is>
      </c>
      <c r="C32" s="14" t="n">
        <v>14828.03696</v>
      </c>
      <c r="D32" s="14" t="n">
        <v>34188.88</v>
      </c>
    </row>
    <row r="33">
      <c r="A33" s="13" t="inlineStr">
        <is>
          <t>Raj Duggal</t>
        </is>
      </c>
      <c r="B33" s="13" t="inlineStr">
        <is>
          <t>1.6000%</t>
        </is>
      </c>
      <c r="C33" s="14" t="n">
        <v>245.09152</v>
      </c>
      <c r="D33" s="14" t="n">
        <v>946.97</v>
      </c>
    </row>
    <row r="34">
      <c r="A34" s="13" t="inlineStr">
        <is>
          <t>Phil</t>
        </is>
      </c>
      <c r="B34" s="13" t="inlineStr">
        <is>
          <t>1.6000%</t>
        </is>
      </c>
      <c r="C34" s="14" t="n">
        <v>245.09152</v>
      </c>
      <c r="D34" s="14" t="n">
        <v>946.97</v>
      </c>
    </row>
    <row r="36">
      <c r="A36" s="8" t="inlineStr">
        <is>
          <t>TAB GUIDE</t>
        </is>
      </c>
    </row>
    <row r="37">
      <c r="A37" s="4" t="inlineStr">
        <is>
          <t>1. Cover &amp; Filing Info</t>
        </is>
      </c>
      <c r="B37" t="inlineStr">
        <is>
          <t>This tab — entity, method elections, headline numbers</t>
        </is>
      </c>
    </row>
    <row r="38">
      <c r="A38" s="4" t="inlineStr">
        <is>
          <t>2. Form 1065 Page 1</t>
        </is>
      </c>
      <c r="B38" t="inlineStr">
        <is>
          <t>Income &amp; Deductions (Lines 1–22)</t>
        </is>
      </c>
    </row>
    <row r="39">
      <c r="A39" s="4" t="inlineStr">
        <is>
          <t>3. Schedule K</t>
        </is>
      </c>
      <c r="B39" t="inlineStr">
        <is>
          <t>Partners' Distributive Share (aggregate)</t>
        </is>
      </c>
    </row>
    <row r="40">
      <c r="A40" s="4" t="inlineStr">
        <is>
          <t>4. K-1 Nairne</t>
        </is>
      </c>
      <c r="B40" t="inlineStr">
        <is>
          <t>Schedule K-1 for Nairne (30.25% economic / 96.80% normalized)</t>
        </is>
      </c>
    </row>
    <row r="41">
      <c r="A41" s="4" t="inlineStr">
        <is>
          <t>5. K-1 Raj Duggal</t>
        </is>
      </c>
      <c r="B41" t="inlineStr">
        <is>
          <t>Schedule K-1 for Raj Duggal (0.5%)</t>
        </is>
      </c>
    </row>
    <row r="42">
      <c r="A42" s="4" t="inlineStr">
        <is>
          <t>6. K-1 Phil</t>
        </is>
      </c>
      <c r="B42" t="inlineStr">
        <is>
          <t>Schedule K-1 for Phil (0.5%)</t>
        </is>
      </c>
    </row>
    <row r="43">
      <c r="A43" s="4" t="inlineStr">
        <is>
          <t>7. Schedule L</t>
        </is>
      </c>
      <c r="B43" t="inlineStr">
        <is>
          <t>Balance Sheet per Books (Beginning + End)</t>
        </is>
      </c>
    </row>
    <row r="44">
      <c r="A44" s="4" t="inlineStr">
        <is>
          <t>8. Schedule M-1</t>
        </is>
      </c>
      <c r="B44" t="inlineStr">
        <is>
          <t>Reconciliation of Income</t>
        </is>
      </c>
    </row>
    <row r="45">
      <c r="A45" s="4" t="inlineStr">
        <is>
          <t>9. Schedule M-2</t>
        </is>
      </c>
      <c r="B45" t="inlineStr">
        <is>
          <t>Analysis of Partners' Capital Accounts</t>
        </is>
      </c>
    </row>
    <row r="46">
      <c r="A46" s="4" t="inlineStr">
        <is>
          <t>10. 1099 Detail</t>
        </is>
      </c>
      <c r="B46" t="inlineStr">
        <is>
          <t>Per-contractor breakdown for 1099-NEC issuance</t>
        </is>
      </c>
    </row>
    <row r="47">
      <c r="A47" s="4" t="inlineStr">
        <is>
          <t>11. Op Expenses Detail</t>
        </is>
      </c>
      <c r="B47" t="inlineStr">
        <is>
          <t>Vendor-level expense detail</t>
        </is>
      </c>
    </row>
  </sheetData>
  <mergeCells count="35">
    <mergeCell ref="B11:D11"/>
    <mergeCell ref="B42:D42"/>
    <mergeCell ref="B14:D14"/>
    <mergeCell ref="B8:D8"/>
    <mergeCell ref="B17:D17"/>
    <mergeCell ref="B13:D13"/>
    <mergeCell ref="B44:D44"/>
    <mergeCell ref="A19:D19"/>
    <mergeCell ref="B38:D38"/>
    <mergeCell ref="B10:D10"/>
    <mergeCell ref="C20:D20"/>
    <mergeCell ref="B37:D37"/>
    <mergeCell ref="A30:D30"/>
    <mergeCell ref="B40:D40"/>
    <mergeCell ref="B9:D9"/>
    <mergeCell ref="C22:D22"/>
    <mergeCell ref="B15:D15"/>
    <mergeCell ref="B6:D6"/>
    <mergeCell ref="A36:D36"/>
    <mergeCell ref="A1:D1"/>
    <mergeCell ref="B5:D5"/>
    <mergeCell ref="C21:D21"/>
    <mergeCell ref="B45:D45"/>
    <mergeCell ref="B41:D41"/>
    <mergeCell ref="A25:D25"/>
    <mergeCell ref="B7:D7"/>
    <mergeCell ref="C23:D23"/>
    <mergeCell ref="B47:D47"/>
    <mergeCell ref="B16:D16"/>
    <mergeCell ref="B46:D46"/>
    <mergeCell ref="A3:D3"/>
    <mergeCell ref="A2:D2"/>
    <mergeCell ref="B43:D43"/>
    <mergeCell ref="B12:D12"/>
    <mergeCell ref="B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7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Form 1065 Page 1 — Income &amp; Deductions (Accrual Basis)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12" t="inlineStr">
        <is>
          <t>Form 1065 Line</t>
        </is>
      </c>
      <c r="B5" s="12" t="inlineStr">
        <is>
          <t>Description</t>
        </is>
      </c>
      <c r="C5" s="12" t="inlineStr">
        <is>
          <t>Amount ($)</t>
        </is>
      </c>
      <c r="D5" s="12" t="inlineStr">
        <is>
          <t>Notes / Source</t>
        </is>
      </c>
    </row>
    <row r="6">
      <c r="A6" s="8" t="inlineStr">
        <is>
          <t>INCOME (Lines 1–8)</t>
        </is>
      </c>
    </row>
    <row r="7">
      <c r="A7" t="inlineStr">
        <is>
          <t>1a</t>
        </is>
      </c>
      <c r="B7" t="inlineStr">
        <is>
          <t>Gross receipts or sales</t>
        </is>
      </c>
      <c r="C7" s="15" t="n">
        <v>153023.03</v>
      </c>
      <c r="D7" s="10" t="inlineStr">
        <is>
          <t>Performance Fees Crystallized from Armada Prime LLP, accrued Aug-Dec 2025 per TPA Reporting Packages</t>
        </is>
      </c>
    </row>
    <row r="8">
      <c r="A8" t="inlineStr">
        <is>
          <t>1b</t>
        </is>
      </c>
      <c r="B8" t="inlineStr">
        <is>
          <t>Returns and allowances</t>
        </is>
      </c>
      <c r="C8" s="15" t="n">
        <v>0</v>
      </c>
      <c r="D8" s="10" t="inlineStr"/>
    </row>
    <row r="9">
      <c r="A9" s="4" t="inlineStr">
        <is>
          <t>1c</t>
        </is>
      </c>
      <c r="B9" s="4" t="inlineStr">
        <is>
          <t>Balance (1a − 1b)</t>
        </is>
      </c>
      <c r="C9" s="16" t="n">
        <v>153023.03</v>
      </c>
      <c r="D9" s="17" t="inlineStr"/>
    </row>
    <row r="10">
      <c r="A10" t="inlineStr">
        <is>
          <t>2</t>
        </is>
      </c>
      <c r="B10" t="inlineStr">
        <is>
          <t>Cost of goods sold</t>
        </is>
      </c>
      <c r="C10" s="15" t="n">
        <v>0</v>
      </c>
      <c r="D10" s="10" t="inlineStr">
        <is>
          <t>N/A — services-only LLC</t>
        </is>
      </c>
    </row>
    <row r="11">
      <c r="A11" s="4" t="inlineStr">
        <is>
          <t>3</t>
        </is>
      </c>
      <c r="B11" s="4" t="inlineStr">
        <is>
          <t>Gross profit (1c − 2)</t>
        </is>
      </c>
      <c r="C11" s="16" t="n">
        <v>153023.03</v>
      </c>
      <c r="D11" s="17" t="inlineStr"/>
    </row>
    <row r="12">
      <c r="A12" t="inlineStr">
        <is>
          <t>4</t>
        </is>
      </c>
      <c r="B12" t="inlineStr">
        <is>
          <t>Ordinary income/(loss) from other partnerships, estates, trusts</t>
        </is>
      </c>
      <c r="C12" s="15" t="n">
        <v>0</v>
      </c>
      <c r="D12" s="10" t="inlineStr"/>
    </row>
    <row r="13">
      <c r="A13" t="inlineStr">
        <is>
          <t>5</t>
        </is>
      </c>
      <c r="B13" t="inlineStr">
        <is>
          <t>Net farm profit/(loss)</t>
        </is>
      </c>
      <c r="C13" s="15" t="n">
        <v>0</v>
      </c>
      <c r="D13" s="10" t="inlineStr"/>
    </row>
    <row r="14">
      <c r="A14" t="inlineStr">
        <is>
          <t>6</t>
        </is>
      </c>
      <c r="B14" t="inlineStr">
        <is>
          <t>Net gain/(loss) from Form 4797 (Disposition of business property)</t>
        </is>
      </c>
      <c r="C14" s="15" t="n">
        <v>0</v>
      </c>
      <c r="D14" s="10" t="inlineStr"/>
    </row>
    <row r="15">
      <c r="A15" t="inlineStr">
        <is>
          <t>7</t>
        </is>
      </c>
      <c r="B15" t="inlineStr">
        <is>
          <t>Other income/(loss) (statement)</t>
        </is>
      </c>
      <c r="C15" s="15" t="n">
        <v>0</v>
      </c>
      <c r="D15" s="10" t="inlineStr"/>
    </row>
    <row r="16">
      <c r="A16" s="18" t="inlineStr">
        <is>
          <t>8</t>
        </is>
      </c>
      <c r="B16" s="18" t="inlineStr">
        <is>
          <t>TOTAL INCOME (lines 3-7)</t>
        </is>
      </c>
      <c r="C16" s="19" t="n">
        <v>153023.03</v>
      </c>
      <c r="D16" s="20" t="inlineStr"/>
    </row>
    <row r="18">
      <c r="A18" s="8" t="inlineStr">
        <is>
          <t>DEDUCTIONS (Lines 9–21)</t>
        </is>
      </c>
    </row>
    <row r="19">
      <c r="A19" t="inlineStr">
        <is>
          <t>9</t>
        </is>
      </c>
      <c r="B19" t="inlineStr">
        <is>
          <t>Salaries and wages (less employment credits)</t>
        </is>
      </c>
      <c r="C19" s="15" t="n">
        <v>0</v>
      </c>
      <c r="D19" s="10" t="inlineStr">
        <is>
          <t>$0 — no W-2 employees</t>
        </is>
      </c>
    </row>
    <row r="20">
      <c r="A20" t="inlineStr">
        <is>
          <t>10</t>
        </is>
      </c>
      <c r="B20" t="inlineStr">
        <is>
          <t>Guaranteed payments to partners</t>
        </is>
      </c>
      <c r="C20" s="15" t="n">
        <v>0</v>
      </c>
      <c r="D20" s="10" t="inlineStr">
        <is>
          <t>$0 — no guaranteed payment structure (could be elected for Nairne in future)</t>
        </is>
      </c>
    </row>
    <row r="21">
      <c r="A21" t="inlineStr">
        <is>
          <t>11</t>
        </is>
      </c>
      <c r="B21" t="inlineStr">
        <is>
          <t>Repairs and maintenance</t>
        </is>
      </c>
      <c r="C21" s="15" t="n">
        <v>0</v>
      </c>
      <c r="D21" s="10" t="inlineStr"/>
    </row>
    <row r="22">
      <c r="A22" t="inlineStr">
        <is>
          <t>12</t>
        </is>
      </c>
      <c r="B22" t="inlineStr">
        <is>
          <t>Bad debts</t>
        </is>
      </c>
      <c r="C22" s="15" t="n">
        <v>0</v>
      </c>
      <c r="D22" s="10" t="inlineStr"/>
    </row>
    <row r="23">
      <c r="A23" t="inlineStr">
        <is>
          <t>13</t>
        </is>
      </c>
      <c r="B23" t="inlineStr">
        <is>
          <t>Rent</t>
        </is>
      </c>
      <c r="C23" s="15" t="n">
        <v>0</v>
      </c>
      <c r="D23" s="10" t="inlineStr">
        <is>
          <t>$0 — no leased office space</t>
        </is>
      </c>
    </row>
    <row r="24">
      <c r="A24" t="inlineStr">
        <is>
          <t>14</t>
        </is>
      </c>
      <c r="B24" t="inlineStr">
        <is>
          <t>Taxes and licenses</t>
        </is>
      </c>
      <c r="C24" s="15" t="n">
        <v>0</v>
      </c>
      <c r="D24" s="10" t="inlineStr">
        <is>
          <t>$0 — state LLC fee tracked separately if applicable; ⚠️ verify</t>
        </is>
      </c>
    </row>
    <row r="25">
      <c r="A25" t="inlineStr">
        <is>
          <t>15</t>
        </is>
      </c>
      <c r="B25" t="inlineStr">
        <is>
          <t>Interest</t>
        </is>
      </c>
      <c r="C25" s="15" t="n">
        <v>0</v>
      </c>
      <c r="D25" s="10" t="inlineStr"/>
    </row>
    <row r="26">
      <c r="A26" t="inlineStr">
        <is>
          <t>16a</t>
        </is>
      </c>
      <c r="B26" t="inlineStr">
        <is>
          <t>Depreciation (from Form 4562)</t>
        </is>
      </c>
      <c r="C26" s="15" t="n">
        <v>0</v>
      </c>
      <c r="D26" s="10" t="inlineStr">
        <is>
          <t>$0 — no fixed assets to depreciate</t>
        </is>
      </c>
    </row>
    <row r="27">
      <c r="A27" t="inlineStr">
        <is>
          <t>16b</t>
        </is>
      </c>
      <c r="B27" t="inlineStr">
        <is>
          <t>Less depreciation reported elsewhere</t>
        </is>
      </c>
      <c r="C27" s="15" t="n">
        <v>0</v>
      </c>
      <c r="D27" s="10" t="inlineStr"/>
    </row>
    <row r="28">
      <c r="A28" t="inlineStr">
        <is>
          <t>16c</t>
        </is>
      </c>
      <c r="B28" t="inlineStr">
        <is>
          <t>Subtract line 16b from 16a</t>
        </is>
      </c>
      <c r="C28" s="15" t="n">
        <v>0</v>
      </c>
      <c r="D28" s="10" t="inlineStr"/>
    </row>
    <row r="29">
      <c r="A29" t="inlineStr">
        <is>
          <t>17</t>
        </is>
      </c>
      <c r="B29" t="inlineStr">
        <is>
          <t>Depletion (Do not deduct oil/gas)</t>
        </is>
      </c>
      <c r="C29" s="15" t="n">
        <v>0</v>
      </c>
      <c r="D29" s="10" t="inlineStr"/>
    </row>
    <row r="30">
      <c r="A30" t="inlineStr">
        <is>
          <t>18</t>
        </is>
      </c>
      <c r="B30" t="inlineStr">
        <is>
          <t>Retirement plans, etc.</t>
        </is>
      </c>
      <c r="C30" s="15" t="n">
        <v>0</v>
      </c>
      <c r="D30" s="10" t="inlineStr">
        <is>
          <t>$0 — Solo 401(k) recommended for 2026; nothing for 2025</t>
        </is>
      </c>
    </row>
    <row r="31">
      <c r="A31" t="inlineStr">
        <is>
          <t>19</t>
        </is>
      </c>
      <c r="B31" t="inlineStr">
        <is>
          <t>Employee benefit programs</t>
        </is>
      </c>
      <c r="C31" s="15" t="n">
        <v>0</v>
      </c>
      <c r="D31" s="10" t="inlineStr"/>
    </row>
    <row r="32">
      <c r="A32" t="inlineStr">
        <is>
          <t>20</t>
        </is>
      </c>
      <c r="B32" t="inlineStr">
        <is>
          <t>Other deductions (statement attached — see below)</t>
        </is>
      </c>
      <c r="C32" s="15" t="n">
        <v>137704.81</v>
      </c>
      <c r="D32" s="10" t="inlineStr">
        <is>
          <t>See Other Deductions Statement</t>
        </is>
      </c>
    </row>
    <row r="33">
      <c r="A33" s="18" t="inlineStr">
        <is>
          <t>21</t>
        </is>
      </c>
      <c r="B33" s="18" t="inlineStr">
        <is>
          <t>TOTAL DEDUCTIONS (lines 9-20)</t>
        </is>
      </c>
      <c r="C33" s="19" t="n">
        <v>137704.81</v>
      </c>
      <c r="D33" s="20" t="inlineStr"/>
    </row>
    <row r="35">
      <c r="A35" s="8" t="inlineStr">
        <is>
          <t>ORDINARY BUSINESS INCOME (Line 22)</t>
        </is>
      </c>
    </row>
    <row r="36">
      <c r="A36" s="5" t="inlineStr">
        <is>
          <t>22</t>
        </is>
      </c>
      <c r="B36" s="5" t="inlineStr">
        <is>
          <t>Ordinary business income/(loss) (Line 8 − Line 21)</t>
        </is>
      </c>
      <c r="C36" s="11" t="n">
        <v>15318.22</v>
      </c>
      <c r="D36" s="21" t="inlineStr">
        <is>
          <t>Flows to Schedule K Line 1 → allocated to partners on K-1 Box 1</t>
        </is>
      </c>
    </row>
    <row r="38">
      <c r="A38" s="8" t="inlineStr">
        <is>
          <t>OTHER DEDUCTIONS STATEMENT (supporting Line 20)</t>
        </is>
      </c>
    </row>
    <row r="39">
      <c r="A39" t="inlineStr">
        <is>
          <t>20</t>
        </is>
      </c>
      <c r="B39" t="inlineStr">
        <is>
          <t xml:space="preserve">  Capital raiser commissions (1099-NEC contractors)</t>
        </is>
      </c>
      <c r="C39" s="15" t="n">
        <v>86754.81</v>
      </c>
      <c r="D39" s="10" t="inlineStr">
        <is>
          <t>Alec, Jake, AJ, Issac, Luke, Nikki — see Tab 10</t>
        </is>
      </c>
    </row>
    <row r="40">
      <c r="A40" t="inlineStr">
        <is>
          <t>20</t>
        </is>
      </c>
      <c r="B40" t="inlineStr">
        <is>
          <t xml:space="preserve">  Contractor labor — Chris (1099-NEC)</t>
        </is>
      </c>
      <c r="C40" s="15" t="n">
        <v>4000</v>
      </c>
      <c r="D40" s="10" t="inlineStr">
        <is>
          <t>Operating contractor</t>
        </is>
      </c>
    </row>
    <row r="41">
      <c r="A41" t="inlineStr">
        <is>
          <t>20</t>
        </is>
      </c>
      <c r="B41" t="inlineStr">
        <is>
          <t xml:space="preserve">  Insurance — D&amp;O</t>
        </is>
      </c>
      <c r="C41" s="15" t="n">
        <v>18000</v>
      </c>
      <c r="D41" s="10" t="inlineStr">
        <is>
          <t>Full annual policy premium; deductible under 12-month prepaid rule (Reg §1.263(a)-4(f))</t>
        </is>
      </c>
    </row>
    <row r="42">
      <c r="A42" t="inlineStr">
        <is>
          <t>20</t>
        </is>
      </c>
      <c r="B42" t="inlineStr">
        <is>
          <t xml:space="preserve">  Marketing — Website</t>
        </is>
      </c>
      <c r="C42" s="15" t="n">
        <v>7500</v>
      </c>
      <c r="D42" s="10" t="inlineStr"/>
    </row>
    <row r="43">
      <c r="A43" t="inlineStr">
        <is>
          <t>20</t>
        </is>
      </c>
      <c r="B43" t="inlineStr">
        <is>
          <t xml:space="preserve">  Marketing — Advertising / Ad Spend</t>
        </is>
      </c>
      <c r="C43" s="15" t="n">
        <v>0</v>
      </c>
      <c r="D43" s="10" t="inlineStr"/>
    </row>
    <row r="44">
      <c r="A44" t="inlineStr">
        <is>
          <t>20</t>
        </is>
      </c>
      <c r="B44" t="inlineStr">
        <is>
          <t xml:space="preserve">  Compliance — Verification (Alpha)</t>
        </is>
      </c>
      <c r="C44" s="15" t="n">
        <v>2250</v>
      </c>
      <c r="D44" s="10" t="inlineStr"/>
    </row>
    <row r="45">
      <c r="A45" t="inlineStr">
        <is>
          <t>20</t>
        </is>
      </c>
      <c r="B45" t="inlineStr">
        <is>
          <t xml:space="preserve">  Administrative — TPA fees (Formidium)</t>
        </is>
      </c>
      <c r="C45" s="15" t="n">
        <v>5700</v>
      </c>
      <c r="D45" s="10" t="inlineStr"/>
    </row>
    <row r="46">
      <c r="A46" t="inlineStr">
        <is>
          <t>20</t>
        </is>
      </c>
      <c r="B46" t="inlineStr">
        <is>
          <t xml:space="preserve">  Professional fees — PVD</t>
        </is>
      </c>
      <c r="C46" s="15" t="n">
        <v>6000</v>
      </c>
      <c r="D46" s="10" t="inlineStr">
        <is>
          <t>Vendor type to verify for 1099 obligation</t>
        </is>
      </c>
    </row>
    <row r="47">
      <c r="A47" s="18" t="inlineStr">
        <is>
          <t>20</t>
        </is>
      </c>
      <c r="B47" s="18" t="inlineStr">
        <is>
          <t>TOTAL OTHER DEDUCTIONS (matches Line 20 above)</t>
        </is>
      </c>
      <c r="C47" s="19" t="n">
        <v>130204.81</v>
      </c>
      <c r="D47" s="20" t="inlineStr"/>
    </row>
    <row r="49">
      <c r="A49" s="8" t="inlineStr">
        <is>
          <t>ITEMS NOT ON P&amp;L (TRACK SEPARATELY)</t>
        </is>
      </c>
    </row>
    <row r="50">
      <c r="A50" s="7" t="inlineStr">
        <is>
          <t>—</t>
        </is>
      </c>
      <c r="B50" s="7" t="inlineStr">
        <is>
          <t>506c SPV Loan disbursements (RECLASSIFIED to Balance Sheet)</t>
        </is>
      </c>
      <c r="C50" s="22" t="n">
        <v>4275</v>
      </c>
      <c r="D50" s="23" t="inlineStr">
        <is>
          <t>Aug $4,275 (Oct $25K SPV disbursement was reclassified out of GP expenses entirely per Nairne 2026-05-07). Loan receivable / SPV equity investment — appears on Schedule L (Tab 7), not Form 1065 Page 1.</t>
        </is>
      </c>
    </row>
  </sheetData>
  <mergeCells count="8">
    <mergeCell ref="A1:D1"/>
    <mergeCell ref="A18:D18"/>
    <mergeCell ref="A6:D6"/>
    <mergeCell ref="A35:D35"/>
    <mergeCell ref="A3:D3"/>
    <mergeCell ref="A38:D38"/>
    <mergeCell ref="A2:D2"/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6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Schedule K — Partners' Distributive Share Items (AGGREGATE)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12" t="inlineStr">
        <is>
          <t>Line</t>
        </is>
      </c>
      <c r="B5" s="12" t="inlineStr">
        <is>
          <t>Description</t>
        </is>
      </c>
      <c r="C5" s="12" t="inlineStr">
        <is>
          <t>Amount ($)</t>
        </is>
      </c>
      <c r="D5" s="12" t="inlineStr">
        <is>
          <t>Notes</t>
        </is>
      </c>
    </row>
    <row r="6">
      <c r="A6" s="8" t="inlineStr">
        <is>
          <t>INCOME (LOSS)</t>
        </is>
      </c>
    </row>
    <row r="7">
      <c r="A7" s="4" t="inlineStr">
        <is>
          <t>1</t>
        </is>
      </c>
      <c r="B7" s="4" t="inlineStr">
        <is>
          <t>Ordinary business income (loss)</t>
        </is>
      </c>
      <c r="C7" s="16" t="n">
        <v>15318.22</v>
      </c>
      <c r="D7" s="17" t="inlineStr">
        <is>
          <t>From Form 1065 Page 1, Line 22</t>
        </is>
      </c>
    </row>
    <row r="8">
      <c r="A8" t="inlineStr">
        <is>
          <t>2</t>
        </is>
      </c>
      <c r="B8" t="inlineStr">
        <is>
          <t>Net rental real estate income (loss)</t>
        </is>
      </c>
      <c r="C8" s="15" t="n">
        <v>0</v>
      </c>
      <c r="D8" s="10" t="inlineStr"/>
    </row>
    <row r="9">
      <c r="A9" t="inlineStr">
        <is>
          <t>3a</t>
        </is>
      </c>
      <c r="B9" t="inlineStr">
        <is>
          <t>Other gross rental income (loss)</t>
        </is>
      </c>
      <c r="C9" s="15" t="n">
        <v>0</v>
      </c>
      <c r="D9" s="10" t="inlineStr"/>
    </row>
    <row r="10">
      <c r="A10" t="inlineStr">
        <is>
          <t>4a</t>
        </is>
      </c>
      <c r="B10" t="inlineStr">
        <is>
          <t>Guaranteed payments — services</t>
        </is>
      </c>
      <c r="C10" s="15" t="n">
        <v>0</v>
      </c>
      <c r="D10" s="10" t="inlineStr">
        <is>
          <t>$0</t>
        </is>
      </c>
    </row>
    <row r="11">
      <c r="A11" t="inlineStr">
        <is>
          <t>4b</t>
        </is>
      </c>
      <c r="B11" t="inlineStr">
        <is>
          <t>Guaranteed payments — capital</t>
        </is>
      </c>
      <c r="C11" s="15" t="n">
        <v>0</v>
      </c>
      <c r="D11" s="10" t="inlineStr"/>
    </row>
    <row r="12">
      <c r="A12" t="inlineStr">
        <is>
          <t>5</t>
        </is>
      </c>
      <c r="B12" t="inlineStr">
        <is>
          <t>Interest income</t>
        </is>
      </c>
      <c r="C12" s="15" t="n">
        <v>0</v>
      </c>
      <c r="D12" s="10" t="inlineStr"/>
    </row>
    <row r="13">
      <c r="A13" t="inlineStr">
        <is>
          <t>6a</t>
        </is>
      </c>
      <c r="B13" t="inlineStr">
        <is>
          <t>Ordinary dividends</t>
        </is>
      </c>
      <c r="C13" s="15" t="n">
        <v>0</v>
      </c>
      <c r="D13" s="10" t="inlineStr"/>
    </row>
    <row r="14">
      <c r="A14" t="inlineStr">
        <is>
          <t>6b</t>
        </is>
      </c>
      <c r="B14" t="inlineStr">
        <is>
          <t>Qualified dividends</t>
        </is>
      </c>
      <c r="C14" s="15" t="n">
        <v>0</v>
      </c>
      <c r="D14" s="10" t="inlineStr"/>
    </row>
    <row r="15">
      <c r="A15" t="inlineStr">
        <is>
          <t>7</t>
        </is>
      </c>
      <c r="B15" t="inlineStr">
        <is>
          <t>Royalties</t>
        </is>
      </c>
      <c r="C15" s="15" t="n">
        <v>0</v>
      </c>
      <c r="D15" s="10" t="inlineStr"/>
    </row>
    <row r="16">
      <c r="A16" t="inlineStr">
        <is>
          <t>8</t>
        </is>
      </c>
      <c r="B16" t="inlineStr">
        <is>
          <t>Net short-term capital gain (loss)</t>
        </is>
      </c>
      <c r="C16" s="15" t="n">
        <v>0</v>
      </c>
      <c r="D16" s="10" t="inlineStr"/>
    </row>
    <row r="17">
      <c r="A17" t="inlineStr">
        <is>
          <t>9a</t>
        </is>
      </c>
      <c r="B17" t="inlineStr">
        <is>
          <t>Net long-term capital gain (loss)</t>
        </is>
      </c>
      <c r="C17" s="15" t="n">
        <v>0</v>
      </c>
      <c r="D17" s="10" t="inlineStr"/>
    </row>
    <row r="18">
      <c r="A18" t="inlineStr">
        <is>
          <t>10</t>
        </is>
      </c>
      <c r="B18" t="inlineStr">
        <is>
          <t>Net section 1231 gain (loss)</t>
        </is>
      </c>
      <c r="C18" s="15" t="n">
        <v>0</v>
      </c>
      <c r="D18" s="10" t="inlineStr"/>
    </row>
    <row r="19">
      <c r="A19" t="inlineStr">
        <is>
          <t>11</t>
        </is>
      </c>
      <c r="B19" t="inlineStr">
        <is>
          <t>Other income (loss)</t>
        </is>
      </c>
      <c r="C19" s="15" t="n">
        <v>0</v>
      </c>
      <c r="D19" s="10" t="inlineStr"/>
    </row>
    <row r="21">
      <c r="A21" s="8" t="inlineStr">
        <is>
          <t>DEDUCTIONS</t>
        </is>
      </c>
    </row>
    <row r="22">
      <c r="A22" t="inlineStr">
        <is>
          <t>12</t>
        </is>
      </c>
      <c r="B22" t="inlineStr">
        <is>
          <t>Section 179 deduction</t>
        </is>
      </c>
      <c r="C22" s="15" t="n">
        <v>0</v>
      </c>
      <c r="D22" s="10" t="inlineStr"/>
    </row>
    <row r="23">
      <c r="A23" t="inlineStr">
        <is>
          <t>13a</t>
        </is>
      </c>
      <c r="B23" t="inlineStr">
        <is>
          <t>Contributions</t>
        </is>
      </c>
      <c r="C23" s="15" t="n">
        <v>0</v>
      </c>
      <c r="D23" s="10" t="inlineStr"/>
    </row>
    <row r="24">
      <c r="A24" t="inlineStr">
        <is>
          <t>13c(1)</t>
        </is>
      </c>
      <c r="B24" t="inlineStr">
        <is>
          <t>Investment interest expense</t>
        </is>
      </c>
      <c r="C24" s="15" t="n">
        <v>0</v>
      </c>
      <c r="D24" s="10" t="inlineStr"/>
    </row>
    <row r="25">
      <c r="A25" t="inlineStr">
        <is>
          <t>13d</t>
        </is>
      </c>
      <c r="B25" t="inlineStr">
        <is>
          <t>Other deductions</t>
        </is>
      </c>
      <c r="C25" s="15" t="n">
        <v>0</v>
      </c>
      <c r="D25" s="10" t="inlineStr"/>
    </row>
    <row r="27">
      <c r="A27" s="8" t="inlineStr">
        <is>
          <t>SELF-EMPLOYMENT</t>
        </is>
      </c>
    </row>
    <row r="28">
      <c r="A28" s="4" t="inlineStr">
        <is>
          <t>14a</t>
        </is>
      </c>
      <c r="B28" s="4" t="inlineStr">
        <is>
          <t>Net earnings (loss) from self-employment</t>
        </is>
      </c>
      <c r="C28" s="16" t="n">
        <v>15318.22</v>
      </c>
      <c r="D28" s="17" t="inlineStr">
        <is>
          <t>Active managing members' shares are SE-taxable. Nairne is active; Raj/Phil status to confirm.</t>
        </is>
      </c>
    </row>
    <row r="29">
      <c r="A29" t="inlineStr">
        <is>
          <t>14b</t>
        </is>
      </c>
      <c r="B29" t="inlineStr">
        <is>
          <t>Gross farming or fishing income</t>
        </is>
      </c>
      <c r="C29" s="15" t="n">
        <v>0</v>
      </c>
      <c r="D29" s="10" t="inlineStr"/>
    </row>
    <row r="30">
      <c r="A30" t="inlineStr">
        <is>
          <t>14c</t>
        </is>
      </c>
      <c r="B30" t="inlineStr">
        <is>
          <t>Gross nonfarm income</t>
        </is>
      </c>
      <c r="C30" s="15" t="n">
        <v>153023.03</v>
      </c>
      <c r="D30" s="10" t="inlineStr"/>
    </row>
    <row r="32">
      <c r="A32" s="8" t="inlineStr">
        <is>
          <t>ALTERNATIVE MINIMUM TAX (AMT) ITEMS</t>
        </is>
      </c>
    </row>
    <row r="33">
      <c r="A33" t="inlineStr">
        <is>
          <t>17a-17f</t>
        </is>
      </c>
      <c r="B33" t="inlineStr">
        <is>
          <t>AMT items</t>
        </is>
      </c>
      <c r="C33" s="15" t="n">
        <v>0</v>
      </c>
      <c r="D33" s="10" t="inlineStr"/>
    </row>
    <row r="35">
      <c r="A35" s="8" t="inlineStr">
        <is>
          <t>OTHER INFORMATION</t>
        </is>
      </c>
    </row>
    <row r="36">
      <c r="A36" t="inlineStr">
        <is>
          <t>19a</t>
        </is>
      </c>
      <c r="B36" t="inlineStr">
        <is>
          <t>Distributions of cash and marketable securities</t>
        </is>
      </c>
      <c r="C36" s="15" t="n">
        <v>36082.82</v>
      </c>
      <c r="D36" s="10" t="inlineStr">
        <is>
          <t>Total cash distributions to all partners in 2025</t>
        </is>
      </c>
    </row>
    <row r="37">
      <c r="A37" t="inlineStr">
        <is>
          <t>19b</t>
        </is>
      </c>
      <c r="B37" t="inlineStr">
        <is>
          <t>Distributions of other property</t>
        </is>
      </c>
      <c r="C37" s="15" t="n">
        <v>0</v>
      </c>
      <c r="D37" s="10" t="inlineStr"/>
    </row>
    <row r="38">
      <c r="A38" t="inlineStr">
        <is>
          <t>20a</t>
        </is>
      </c>
      <c r="B38" t="inlineStr">
        <is>
          <t>Investment income</t>
        </is>
      </c>
      <c r="C38" s="15" t="n">
        <v>0</v>
      </c>
      <c r="D38" s="10" t="inlineStr"/>
    </row>
    <row r="39">
      <c r="A39" t="inlineStr">
        <is>
          <t>20b</t>
        </is>
      </c>
      <c r="B39" t="inlineStr">
        <is>
          <t>Investment expenses</t>
        </is>
      </c>
      <c r="C39" s="15" t="n">
        <v>0</v>
      </c>
      <c r="D39" s="10" t="inlineStr"/>
    </row>
    <row r="41">
      <c r="A41" s="8" t="inlineStr">
        <is>
          <t>ANALYSIS OF NET INCOME</t>
        </is>
      </c>
    </row>
    <row r="42">
      <c r="A42" s="5" t="inlineStr">
        <is>
          <t>—</t>
        </is>
      </c>
      <c r="B42" s="5" t="inlineStr">
        <is>
          <t>Net income per Schedule K (Line 1)</t>
        </is>
      </c>
      <c r="C42" s="11" t="n">
        <v>15318.22</v>
      </c>
      <c r="D42" s="21" t="inlineStr">
        <is>
          <t>Allocated to partners per ownership: Nairne 96.80%, Raj 1.60%, Phil 1.60% (per Nairne 2026-05-07 — 50%×Fund Mgmt to AJ as 1099)</t>
        </is>
      </c>
    </row>
  </sheetData>
  <mergeCells count="9">
    <mergeCell ref="A1:D1"/>
    <mergeCell ref="A27:D27"/>
    <mergeCell ref="A6:D6"/>
    <mergeCell ref="A35:D35"/>
    <mergeCell ref="A3:D3"/>
    <mergeCell ref="A21:D21"/>
    <mergeCell ref="A41:D41"/>
    <mergeCell ref="A2:D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55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Schedule K-1 (Form 1065) — Nairne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4">
      <c r="A4" s="3" t="inlineStr">
        <is>
          <t>Partner: Nairne  |  Ownership: 96.8000%</t>
        </is>
      </c>
    </row>
    <row r="6">
      <c r="A6" s="8" t="inlineStr">
        <is>
          <t>PART I — INFORMATION ABOUT THE PARTNERSHIP</t>
        </is>
      </c>
    </row>
    <row r="7">
      <c r="A7" s="6" t="inlineStr">
        <is>
          <t>A. Partnership EIN</t>
        </is>
      </c>
      <c r="B7" s="7" t="inlineStr">
        <is>
          <t>⚠️ TO PROVIDE</t>
        </is>
      </c>
      <c r="C7" s="7" t="n"/>
      <c r="D7" s="7" t="n"/>
    </row>
    <row r="8">
      <c r="A8" s="6" t="inlineStr">
        <is>
          <t>B. Partnership name + address</t>
        </is>
      </c>
      <c r="B8" s="7" t="inlineStr">
        <is>
          <t>Armada Prime Tech LLC  |  ⚠️ ADDRESS TO PROVIDE</t>
        </is>
      </c>
      <c r="C8" s="7" t="n"/>
      <c r="D8" s="7" t="n"/>
    </row>
    <row r="9">
      <c r="A9" s="4" t="inlineStr">
        <is>
          <t>C. IRS Center where partnership filed</t>
        </is>
      </c>
      <c r="B9" t="inlineStr">
        <is>
          <t>Form 1065 e-filed</t>
        </is>
      </c>
    </row>
    <row r="10">
      <c r="A10" s="4" t="inlineStr">
        <is>
          <t>D. Check if publicly traded partnership</t>
        </is>
      </c>
      <c r="B10" t="inlineStr">
        <is>
          <t>No</t>
        </is>
      </c>
    </row>
    <row r="12">
      <c r="A12" s="8" t="inlineStr">
        <is>
          <t>PART II — INFORMATION ABOUT THE PARTNER</t>
        </is>
      </c>
    </row>
    <row r="13">
      <c r="A13" s="6" t="inlineStr">
        <is>
          <t>E. Partner SSN/EIN</t>
        </is>
      </c>
      <c r="B13" s="7" t="inlineStr">
        <is>
          <t>⚠️ TO PROVIDE</t>
        </is>
      </c>
      <c r="C13" s="7" t="n"/>
      <c r="D13" s="7" t="n"/>
    </row>
    <row r="14">
      <c r="A14" s="6" t="inlineStr">
        <is>
          <t>F. Partner name + address</t>
        </is>
      </c>
      <c r="B14" s="7" t="inlineStr">
        <is>
          <t>Nairne  |  ⚠️ ADDRESS TO PROVIDE</t>
        </is>
      </c>
      <c r="C14" s="7" t="n"/>
      <c r="D14" s="7" t="n"/>
    </row>
    <row r="15">
      <c r="A15" s="4" t="inlineStr">
        <is>
          <t>G. General/limited partner</t>
        </is>
      </c>
      <c r="B15" t="inlineStr">
        <is>
          <t>General partner (LLC member-manager)</t>
        </is>
      </c>
    </row>
    <row r="16">
      <c r="A16" s="4" t="inlineStr">
        <is>
          <t>H1. Domestic or foreign partner</t>
        </is>
      </c>
      <c r="B16" t="inlineStr">
        <is>
          <t>Domestic</t>
        </is>
      </c>
    </row>
    <row r="17">
      <c r="A17" s="4" t="inlineStr">
        <is>
          <t>H2. Disregarded entity TIN</t>
        </is>
      </c>
      <c r="B17" t="inlineStr">
        <is>
          <t>N/A</t>
        </is>
      </c>
    </row>
    <row r="18">
      <c r="A18" s="4" t="inlineStr">
        <is>
          <t>I1. Partner type</t>
        </is>
      </c>
      <c r="B18" t="inlineStr">
        <is>
          <t>Individual</t>
        </is>
      </c>
    </row>
    <row r="19">
      <c r="A19" s="4" t="inlineStr">
        <is>
          <t>J. Partner's share of profit/loss/capital — beginning</t>
        </is>
      </c>
      <c r="B19" t="inlineStr">
        <is>
          <t>0.00% (new entity)</t>
        </is>
      </c>
    </row>
    <row r="20">
      <c r="A20" s="4" t="inlineStr">
        <is>
          <t>J. Partner's share of profit/loss/capital — ending</t>
        </is>
      </c>
      <c r="B20" t="inlineStr">
        <is>
          <t>96.8000%</t>
        </is>
      </c>
    </row>
    <row r="21">
      <c r="A21" s="4" t="inlineStr">
        <is>
          <t>K. Partner's share of liabilities</t>
        </is>
      </c>
      <c r="B21" t="inlineStr">
        <is>
          <t>$0 (no recourse/non-recourse debt)</t>
        </is>
      </c>
    </row>
    <row r="22">
      <c r="A22" s="4" t="inlineStr">
        <is>
          <t>L. Partner's capital account analysis</t>
        </is>
      </c>
      <c r="B22" t="inlineStr">
        <is>
          <t>See Schedule M-2 (Tab 9)</t>
        </is>
      </c>
    </row>
    <row r="23">
      <c r="A23" s="4" t="inlineStr">
        <is>
          <t>M. Did partner contribute property with built-in gain/loss?</t>
        </is>
      </c>
      <c r="B23" t="inlineStr">
        <is>
          <t>No</t>
        </is>
      </c>
    </row>
    <row r="24">
      <c r="A24" s="4" t="inlineStr">
        <is>
          <t>N. Partner's share of unrecognized §704(c) gain/loss</t>
        </is>
      </c>
      <c r="B24" t="inlineStr">
        <is>
          <t>$0</t>
        </is>
      </c>
    </row>
    <row r="26">
      <c r="A26" s="8" t="inlineStr">
        <is>
          <t>PART III — PARTNER'S SHARE OF INCOME / DEDUCTIONS / CREDITS</t>
        </is>
      </c>
    </row>
    <row r="27">
      <c r="A27" s="12" t="inlineStr">
        <is>
          <t>Box</t>
        </is>
      </c>
      <c r="B27" s="12" t="inlineStr">
        <is>
          <t>Item</t>
        </is>
      </c>
      <c r="C27" s="12" t="inlineStr">
        <is>
          <t>Amount ($)</t>
        </is>
      </c>
      <c r="D27" s="12" t="inlineStr">
        <is>
          <t>Notes</t>
        </is>
      </c>
    </row>
    <row r="28">
      <c r="A28" s="5" t="inlineStr">
        <is>
          <t>1</t>
        </is>
      </c>
      <c r="B28" s="5" t="inlineStr">
        <is>
          <t>Ordinary business income (loss)</t>
        </is>
      </c>
      <c r="C28" s="11" t="n">
        <v>14828.03696</v>
      </c>
      <c r="D28" s="21">
        <f> 96.8000% of partnership ordinary income (Form 1065 Line 22). Reported on Schedule E Part II of partner's 1040.</f>
        <v/>
      </c>
    </row>
    <row r="29">
      <c r="A29" t="inlineStr">
        <is>
          <t>2</t>
        </is>
      </c>
      <c r="B29" t="inlineStr">
        <is>
          <t>Net rental real estate income (loss)</t>
        </is>
      </c>
      <c r="C29" s="15" t="n">
        <v>0</v>
      </c>
      <c r="D29" s="10" t="inlineStr"/>
    </row>
    <row r="30">
      <c r="A30" t="inlineStr">
        <is>
          <t>3</t>
        </is>
      </c>
      <c r="B30" t="inlineStr">
        <is>
          <t>Other net rental income (loss)</t>
        </is>
      </c>
      <c r="C30" s="15" t="n">
        <v>0</v>
      </c>
      <c r="D30" s="10" t="inlineStr"/>
    </row>
    <row r="31">
      <c r="A31" t="inlineStr">
        <is>
          <t>4a</t>
        </is>
      </c>
      <c r="B31" t="inlineStr">
        <is>
          <t>Guaranteed payments for services</t>
        </is>
      </c>
      <c r="C31" s="15" t="n">
        <v>0</v>
      </c>
      <c r="D31" s="10" t="inlineStr"/>
    </row>
    <row r="32">
      <c r="A32" t="inlineStr">
        <is>
          <t>4b</t>
        </is>
      </c>
      <c r="B32" t="inlineStr">
        <is>
          <t>Guaranteed payments for capital</t>
        </is>
      </c>
      <c r="C32" s="15" t="n">
        <v>0</v>
      </c>
      <c r="D32" s="10" t="inlineStr"/>
    </row>
    <row r="33">
      <c r="A33" t="inlineStr">
        <is>
          <t>5</t>
        </is>
      </c>
      <c r="B33" t="inlineStr">
        <is>
          <t>Interest income</t>
        </is>
      </c>
      <c r="C33" s="15" t="n">
        <v>0</v>
      </c>
      <c r="D33" s="10" t="inlineStr"/>
    </row>
    <row r="34">
      <c r="A34" t="inlineStr">
        <is>
          <t>6a</t>
        </is>
      </c>
      <c r="B34" t="inlineStr">
        <is>
          <t>Ordinary dividends</t>
        </is>
      </c>
      <c r="C34" s="15" t="n">
        <v>0</v>
      </c>
      <c r="D34" s="10" t="inlineStr"/>
    </row>
    <row r="35">
      <c r="A35" t="inlineStr">
        <is>
          <t>6b</t>
        </is>
      </c>
      <c r="B35" t="inlineStr">
        <is>
          <t>Qualified dividends</t>
        </is>
      </c>
      <c r="C35" s="15" t="n">
        <v>0</v>
      </c>
      <c r="D35" s="10" t="inlineStr"/>
    </row>
    <row r="36">
      <c r="A36" t="inlineStr">
        <is>
          <t>7</t>
        </is>
      </c>
      <c r="B36" t="inlineStr">
        <is>
          <t>Royalties</t>
        </is>
      </c>
      <c r="C36" s="15" t="n">
        <v>0</v>
      </c>
      <c r="D36" s="10" t="inlineStr"/>
    </row>
    <row r="37">
      <c r="A37" t="inlineStr">
        <is>
          <t>8</t>
        </is>
      </c>
      <c r="B37" t="inlineStr">
        <is>
          <t>Net short-term capital gain (loss)</t>
        </is>
      </c>
      <c r="C37" s="15" t="n">
        <v>0</v>
      </c>
      <c r="D37" s="10" t="inlineStr"/>
    </row>
    <row r="38">
      <c r="A38" t="inlineStr">
        <is>
          <t>9a</t>
        </is>
      </c>
      <c r="B38" t="inlineStr">
        <is>
          <t>Net long-term capital gain (loss)</t>
        </is>
      </c>
      <c r="C38" s="15" t="n">
        <v>0</v>
      </c>
      <c r="D38" s="10" t="inlineStr"/>
    </row>
    <row r="39">
      <c r="A39" t="inlineStr">
        <is>
          <t>10</t>
        </is>
      </c>
      <c r="B39" t="inlineStr">
        <is>
          <t>Net section 1231 gain (loss)</t>
        </is>
      </c>
      <c r="C39" s="15" t="n">
        <v>0</v>
      </c>
      <c r="D39" s="10" t="inlineStr"/>
    </row>
    <row r="40">
      <c r="A40" t="inlineStr">
        <is>
          <t>11</t>
        </is>
      </c>
      <c r="B40" t="inlineStr">
        <is>
          <t>Other income (loss)</t>
        </is>
      </c>
      <c r="C40" s="15" t="n">
        <v>0</v>
      </c>
      <c r="D40" s="10" t="inlineStr"/>
    </row>
    <row r="41">
      <c r="A41" t="inlineStr">
        <is>
          <t>12</t>
        </is>
      </c>
      <c r="B41" t="inlineStr">
        <is>
          <t>Section 179 deduction</t>
        </is>
      </c>
      <c r="C41" s="15" t="n">
        <v>0</v>
      </c>
      <c r="D41" s="10" t="inlineStr"/>
    </row>
    <row r="42">
      <c r="A42" t="inlineStr">
        <is>
          <t>13</t>
        </is>
      </c>
      <c r="B42" t="inlineStr">
        <is>
          <t>Other deductions</t>
        </is>
      </c>
      <c r="C42" s="15" t="n">
        <v>0</v>
      </c>
      <c r="D42" s="10" t="inlineStr"/>
    </row>
    <row r="43">
      <c r="A43" t="inlineStr">
        <is>
          <t>14</t>
        </is>
      </c>
      <c r="B43" t="inlineStr">
        <is>
          <t>Self-employment earnings (loss)</t>
        </is>
      </c>
      <c r="C43" s="15" t="n">
        <v>14828.03696</v>
      </c>
      <c r="D43" s="10" t="inlineStr">
        <is>
          <t>If partner is an active managing member, this is SE-taxable. Verify Raj/Phil's status.</t>
        </is>
      </c>
    </row>
    <row r="44">
      <c r="A44" t="inlineStr">
        <is>
          <t>19A</t>
        </is>
      </c>
      <c r="B44" t="inlineStr">
        <is>
          <t>Cash distributions</t>
        </is>
      </c>
      <c r="C44" s="15" t="n">
        <v>34188.88</v>
      </c>
      <c r="D44" s="10" t="inlineStr">
        <is>
          <t>Cash actually received from the partnership in 2025. Reduces partner's outside basis / capital account.</t>
        </is>
      </c>
    </row>
    <row r="45">
      <c r="A45" t="inlineStr">
        <is>
          <t>20Z</t>
        </is>
      </c>
      <c r="B45" t="inlineStr">
        <is>
          <t>QBI deduction info (Section 199A)</t>
        </is>
      </c>
      <c r="C45" s="15" t="n">
        <v>14828.03696</v>
      </c>
      <c r="D45" s="10" t="inlineStr">
        <is>
          <t>Qualified Business Income for §199A purposes. Capital management may be SSTB — confirm phase-out applicability.</t>
        </is>
      </c>
    </row>
    <row r="47">
      <c r="A47" s="8" t="inlineStr">
        <is>
          <t>PARTNER'S TAX OBLIGATIONS — QUICK REFERENCE</t>
        </is>
      </c>
    </row>
    <row r="48" ht="30" customHeight="1">
      <c r="A48" s="10" t="inlineStr">
        <is>
          <t>Box 1 amount ($14,828.04) is ordinary income. Add to your Schedule E Part II, then to your 1040 Line 8.</t>
        </is>
      </c>
    </row>
    <row r="49" ht="30" customHeight="1">
      <c r="A49" s="10" t="inlineStr">
        <is>
          <t>Box 14 ($14,828.04) is subject to Self-Employment Tax (Schedule SE) if you're an active managing member.</t>
        </is>
      </c>
    </row>
    <row r="50" ht="30" customHeight="1">
      <c r="A50" s="10" t="inlineStr">
        <is>
          <t>Box 19A ($34,188.88) cash distributions are NOT additionally taxed — they reduce your capital account / outside basis.</t>
        </is>
      </c>
    </row>
    <row r="51" ht="30" customHeight="1">
      <c r="A51" s="10" t="inlineStr">
        <is>
          <t>Box 20Z provides QBI info for §199A 20% deduction (subject to income phase-out).</t>
        </is>
      </c>
    </row>
    <row r="52" ht="30" customHeight="1">
      <c r="A52" s="10" t="inlineStr">
        <is>
          <t>Filing deadline: K-1 must be furnished to partner by March 15 (or extended deadline if partnership extended).</t>
        </is>
      </c>
    </row>
  </sheetData>
  <mergeCells count="28">
    <mergeCell ref="B14:D14"/>
    <mergeCell ref="B23:D23"/>
    <mergeCell ref="B8:D8"/>
    <mergeCell ref="B17:D17"/>
    <mergeCell ref="A52:D52"/>
    <mergeCell ref="B13:D13"/>
    <mergeCell ref="B10:D10"/>
    <mergeCell ref="B19:D19"/>
    <mergeCell ref="A48:D48"/>
    <mergeCell ref="B9:D9"/>
    <mergeCell ref="A49:D49"/>
    <mergeCell ref="B15:D15"/>
    <mergeCell ref="A51:D51"/>
    <mergeCell ref="B24:D24"/>
    <mergeCell ref="B20:D20"/>
    <mergeCell ref="A1:D1"/>
    <mergeCell ref="A6:D6"/>
    <mergeCell ref="B7:D7"/>
    <mergeCell ref="B16:D16"/>
    <mergeCell ref="A12:D12"/>
    <mergeCell ref="B22:D22"/>
    <mergeCell ref="A50:D50"/>
    <mergeCell ref="A3:D3"/>
    <mergeCell ref="A26:D26"/>
    <mergeCell ref="B18:D18"/>
    <mergeCell ref="B21:D21"/>
    <mergeCell ref="A2:D2"/>
    <mergeCell ref="A47:D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55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Schedule K-1 (Form 1065) — Raj Duggal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4">
      <c r="A4" s="3" t="inlineStr">
        <is>
          <t>Partner: Raj Duggal  |  Ownership: 1.6000%</t>
        </is>
      </c>
    </row>
    <row r="6">
      <c r="A6" s="8" t="inlineStr">
        <is>
          <t>PART I — INFORMATION ABOUT THE PARTNERSHIP</t>
        </is>
      </c>
    </row>
    <row r="7">
      <c r="A7" s="6" t="inlineStr">
        <is>
          <t>A. Partnership EIN</t>
        </is>
      </c>
      <c r="B7" s="7" t="inlineStr">
        <is>
          <t>⚠️ TO PROVIDE</t>
        </is>
      </c>
      <c r="C7" s="7" t="n"/>
      <c r="D7" s="7" t="n"/>
    </row>
    <row r="8">
      <c r="A8" s="6" t="inlineStr">
        <is>
          <t>B. Partnership name + address</t>
        </is>
      </c>
      <c r="B8" s="7" t="inlineStr">
        <is>
          <t>Armada Prime Tech LLC  |  ⚠️ ADDRESS TO PROVIDE</t>
        </is>
      </c>
      <c r="C8" s="7" t="n"/>
      <c r="D8" s="7" t="n"/>
    </row>
    <row r="9">
      <c r="A9" s="4" t="inlineStr">
        <is>
          <t>C. IRS Center where partnership filed</t>
        </is>
      </c>
      <c r="B9" t="inlineStr">
        <is>
          <t>Form 1065 e-filed</t>
        </is>
      </c>
    </row>
    <row r="10">
      <c r="A10" s="4" t="inlineStr">
        <is>
          <t>D. Check if publicly traded partnership</t>
        </is>
      </c>
      <c r="B10" t="inlineStr">
        <is>
          <t>No</t>
        </is>
      </c>
    </row>
    <row r="12">
      <c r="A12" s="8" t="inlineStr">
        <is>
          <t>PART II — INFORMATION ABOUT THE PARTNER</t>
        </is>
      </c>
    </row>
    <row r="13">
      <c r="A13" s="6" t="inlineStr">
        <is>
          <t>E. Partner SSN/EIN</t>
        </is>
      </c>
      <c r="B13" s="7" t="inlineStr">
        <is>
          <t>⚠️ TO PROVIDE</t>
        </is>
      </c>
      <c r="C13" s="7" t="n"/>
      <c r="D13" s="7" t="n"/>
    </row>
    <row r="14">
      <c r="A14" s="6" t="inlineStr">
        <is>
          <t>F. Partner name + address</t>
        </is>
      </c>
      <c r="B14" s="7" t="inlineStr">
        <is>
          <t>Raj Duggal  |  ⚠️ ADDRESS TO PROVIDE</t>
        </is>
      </c>
      <c r="C14" s="7" t="n"/>
      <c r="D14" s="7" t="n"/>
    </row>
    <row r="15">
      <c r="A15" s="4" t="inlineStr">
        <is>
          <t>G. General/limited partner</t>
        </is>
      </c>
      <c r="B15" t="inlineStr">
        <is>
          <t>General partner (LLC member-manager)</t>
        </is>
      </c>
    </row>
    <row r="16">
      <c r="A16" s="4" t="inlineStr">
        <is>
          <t>H1. Domestic or foreign partner</t>
        </is>
      </c>
      <c r="B16" t="inlineStr">
        <is>
          <t>Domestic</t>
        </is>
      </c>
    </row>
    <row r="17">
      <c r="A17" s="4" t="inlineStr">
        <is>
          <t>H2. Disregarded entity TIN</t>
        </is>
      </c>
      <c r="B17" t="inlineStr">
        <is>
          <t>N/A</t>
        </is>
      </c>
    </row>
    <row r="18">
      <c r="A18" s="4" t="inlineStr">
        <is>
          <t>I1. Partner type</t>
        </is>
      </c>
      <c r="B18" t="inlineStr">
        <is>
          <t>Individual</t>
        </is>
      </c>
    </row>
    <row r="19">
      <c r="A19" s="4" t="inlineStr">
        <is>
          <t>J. Partner's share of profit/loss/capital — beginning</t>
        </is>
      </c>
      <c r="B19" t="inlineStr">
        <is>
          <t>0.00% (new entity)</t>
        </is>
      </c>
    </row>
    <row r="20">
      <c r="A20" s="4" t="inlineStr">
        <is>
          <t>J. Partner's share of profit/loss/capital — ending</t>
        </is>
      </c>
      <c r="B20" t="inlineStr">
        <is>
          <t>1.6000%</t>
        </is>
      </c>
    </row>
    <row r="21">
      <c r="A21" s="4" t="inlineStr">
        <is>
          <t>K. Partner's share of liabilities</t>
        </is>
      </c>
      <c r="B21" t="inlineStr">
        <is>
          <t>$0 (no recourse/non-recourse debt)</t>
        </is>
      </c>
    </row>
    <row r="22">
      <c r="A22" s="4" t="inlineStr">
        <is>
          <t>L. Partner's capital account analysis</t>
        </is>
      </c>
      <c r="B22" t="inlineStr">
        <is>
          <t>See Schedule M-2 (Tab 9)</t>
        </is>
      </c>
    </row>
    <row r="23">
      <c r="A23" s="4" t="inlineStr">
        <is>
          <t>M. Did partner contribute property with built-in gain/loss?</t>
        </is>
      </c>
      <c r="B23" t="inlineStr">
        <is>
          <t>No</t>
        </is>
      </c>
    </row>
    <row r="24">
      <c r="A24" s="4" t="inlineStr">
        <is>
          <t>N. Partner's share of unrecognized §704(c) gain/loss</t>
        </is>
      </c>
      <c r="B24" t="inlineStr">
        <is>
          <t>$0</t>
        </is>
      </c>
    </row>
    <row r="26">
      <c r="A26" s="8" t="inlineStr">
        <is>
          <t>PART III — PARTNER'S SHARE OF INCOME / DEDUCTIONS / CREDITS</t>
        </is>
      </c>
    </row>
    <row r="27">
      <c r="A27" s="12" t="inlineStr">
        <is>
          <t>Box</t>
        </is>
      </c>
      <c r="B27" s="12" t="inlineStr">
        <is>
          <t>Item</t>
        </is>
      </c>
      <c r="C27" s="12" t="inlineStr">
        <is>
          <t>Amount ($)</t>
        </is>
      </c>
      <c r="D27" s="12" t="inlineStr">
        <is>
          <t>Notes</t>
        </is>
      </c>
    </row>
    <row r="28">
      <c r="A28" s="5" t="inlineStr">
        <is>
          <t>1</t>
        </is>
      </c>
      <c r="B28" s="5" t="inlineStr">
        <is>
          <t>Ordinary business income (loss)</t>
        </is>
      </c>
      <c r="C28" s="11" t="n">
        <v>245.09152</v>
      </c>
      <c r="D28" s="21">
        <f> 1.6000% of partnership ordinary income (Form 1065 Line 22). Reported on Schedule E Part II of partner's 1040.</f>
        <v/>
      </c>
    </row>
    <row r="29">
      <c r="A29" t="inlineStr">
        <is>
          <t>2</t>
        </is>
      </c>
      <c r="B29" t="inlineStr">
        <is>
          <t>Net rental real estate income (loss)</t>
        </is>
      </c>
      <c r="C29" s="15" t="n">
        <v>0</v>
      </c>
      <c r="D29" s="10" t="inlineStr"/>
    </row>
    <row r="30">
      <c r="A30" t="inlineStr">
        <is>
          <t>3</t>
        </is>
      </c>
      <c r="B30" t="inlineStr">
        <is>
          <t>Other net rental income (loss)</t>
        </is>
      </c>
      <c r="C30" s="15" t="n">
        <v>0</v>
      </c>
      <c r="D30" s="10" t="inlineStr"/>
    </row>
    <row r="31">
      <c r="A31" t="inlineStr">
        <is>
          <t>4a</t>
        </is>
      </c>
      <c r="B31" t="inlineStr">
        <is>
          <t>Guaranteed payments for services</t>
        </is>
      </c>
      <c r="C31" s="15" t="n">
        <v>0</v>
      </c>
      <c r="D31" s="10" t="inlineStr"/>
    </row>
    <row r="32">
      <c r="A32" t="inlineStr">
        <is>
          <t>4b</t>
        </is>
      </c>
      <c r="B32" t="inlineStr">
        <is>
          <t>Guaranteed payments for capital</t>
        </is>
      </c>
      <c r="C32" s="15" t="n">
        <v>0</v>
      </c>
      <c r="D32" s="10" t="inlineStr"/>
    </row>
    <row r="33">
      <c r="A33" t="inlineStr">
        <is>
          <t>5</t>
        </is>
      </c>
      <c r="B33" t="inlineStr">
        <is>
          <t>Interest income</t>
        </is>
      </c>
      <c r="C33" s="15" t="n">
        <v>0</v>
      </c>
      <c r="D33" s="10" t="inlineStr"/>
    </row>
    <row r="34">
      <c r="A34" t="inlineStr">
        <is>
          <t>6a</t>
        </is>
      </c>
      <c r="B34" t="inlineStr">
        <is>
          <t>Ordinary dividends</t>
        </is>
      </c>
      <c r="C34" s="15" t="n">
        <v>0</v>
      </c>
      <c r="D34" s="10" t="inlineStr"/>
    </row>
    <row r="35">
      <c r="A35" t="inlineStr">
        <is>
          <t>6b</t>
        </is>
      </c>
      <c r="B35" t="inlineStr">
        <is>
          <t>Qualified dividends</t>
        </is>
      </c>
      <c r="C35" s="15" t="n">
        <v>0</v>
      </c>
      <c r="D35" s="10" t="inlineStr"/>
    </row>
    <row r="36">
      <c r="A36" t="inlineStr">
        <is>
          <t>7</t>
        </is>
      </c>
      <c r="B36" t="inlineStr">
        <is>
          <t>Royalties</t>
        </is>
      </c>
      <c r="C36" s="15" t="n">
        <v>0</v>
      </c>
      <c r="D36" s="10" t="inlineStr"/>
    </row>
    <row r="37">
      <c r="A37" t="inlineStr">
        <is>
          <t>8</t>
        </is>
      </c>
      <c r="B37" t="inlineStr">
        <is>
          <t>Net short-term capital gain (loss)</t>
        </is>
      </c>
      <c r="C37" s="15" t="n">
        <v>0</v>
      </c>
      <c r="D37" s="10" t="inlineStr"/>
    </row>
    <row r="38">
      <c r="A38" t="inlineStr">
        <is>
          <t>9a</t>
        </is>
      </c>
      <c r="B38" t="inlineStr">
        <is>
          <t>Net long-term capital gain (loss)</t>
        </is>
      </c>
      <c r="C38" s="15" t="n">
        <v>0</v>
      </c>
      <c r="D38" s="10" t="inlineStr"/>
    </row>
    <row r="39">
      <c r="A39" t="inlineStr">
        <is>
          <t>10</t>
        </is>
      </c>
      <c r="B39" t="inlineStr">
        <is>
          <t>Net section 1231 gain (loss)</t>
        </is>
      </c>
      <c r="C39" s="15" t="n">
        <v>0</v>
      </c>
      <c r="D39" s="10" t="inlineStr"/>
    </row>
    <row r="40">
      <c r="A40" t="inlineStr">
        <is>
          <t>11</t>
        </is>
      </c>
      <c r="B40" t="inlineStr">
        <is>
          <t>Other income (loss)</t>
        </is>
      </c>
      <c r="C40" s="15" t="n">
        <v>0</v>
      </c>
      <c r="D40" s="10" t="inlineStr"/>
    </row>
    <row r="41">
      <c r="A41" t="inlineStr">
        <is>
          <t>12</t>
        </is>
      </c>
      <c r="B41" t="inlineStr">
        <is>
          <t>Section 179 deduction</t>
        </is>
      </c>
      <c r="C41" s="15" t="n">
        <v>0</v>
      </c>
      <c r="D41" s="10" t="inlineStr"/>
    </row>
    <row r="42">
      <c r="A42" t="inlineStr">
        <is>
          <t>13</t>
        </is>
      </c>
      <c r="B42" t="inlineStr">
        <is>
          <t>Other deductions</t>
        </is>
      </c>
      <c r="C42" s="15" t="n">
        <v>0</v>
      </c>
      <c r="D42" s="10" t="inlineStr"/>
    </row>
    <row r="43">
      <c r="A43" t="inlineStr">
        <is>
          <t>14</t>
        </is>
      </c>
      <c r="B43" t="inlineStr">
        <is>
          <t>Self-employment earnings (loss)</t>
        </is>
      </c>
      <c r="C43" s="15" t="n">
        <v>245.09152</v>
      </c>
      <c r="D43" s="10" t="inlineStr">
        <is>
          <t>If partner is an active managing member, this is SE-taxable. Verify Raj/Phil's status.</t>
        </is>
      </c>
    </row>
    <row r="44">
      <c r="A44" t="inlineStr">
        <is>
          <t>19A</t>
        </is>
      </c>
      <c r="B44" t="inlineStr">
        <is>
          <t>Cash distributions</t>
        </is>
      </c>
      <c r="C44" s="15" t="n">
        <v>946.97</v>
      </c>
      <c r="D44" s="10" t="inlineStr">
        <is>
          <t>Cash actually received from the partnership in 2025. Reduces partner's outside basis / capital account.</t>
        </is>
      </c>
    </row>
    <row r="45">
      <c r="A45" t="inlineStr">
        <is>
          <t>20Z</t>
        </is>
      </c>
      <c r="B45" t="inlineStr">
        <is>
          <t>QBI deduction info (Section 199A)</t>
        </is>
      </c>
      <c r="C45" s="15" t="n">
        <v>245.09152</v>
      </c>
      <c r="D45" s="10" t="inlineStr">
        <is>
          <t>Qualified Business Income for §199A purposes. Capital management may be SSTB — confirm phase-out applicability.</t>
        </is>
      </c>
    </row>
    <row r="47">
      <c r="A47" s="8" t="inlineStr">
        <is>
          <t>PARTNER'S TAX OBLIGATIONS — QUICK REFERENCE</t>
        </is>
      </c>
    </row>
    <row r="48" ht="30" customHeight="1">
      <c r="A48" s="10" t="inlineStr">
        <is>
          <t>Box 1 amount ($245.09) is ordinary income. Add to your Schedule E Part II, then to your 1040 Line 8.</t>
        </is>
      </c>
    </row>
    <row r="49" ht="30" customHeight="1">
      <c r="A49" s="10" t="inlineStr">
        <is>
          <t>Box 14 ($245.09) is subject to Self-Employment Tax (Schedule SE) if you're an active managing member.</t>
        </is>
      </c>
    </row>
    <row r="50" ht="30" customHeight="1">
      <c r="A50" s="10" t="inlineStr">
        <is>
          <t>Box 19A ($946.97) cash distributions are NOT additionally taxed — they reduce your capital account / outside basis.</t>
        </is>
      </c>
    </row>
    <row r="51" ht="30" customHeight="1">
      <c r="A51" s="10" t="inlineStr">
        <is>
          <t>Box 20Z provides QBI info for §199A 20% deduction (subject to income phase-out).</t>
        </is>
      </c>
    </row>
    <row r="52" ht="30" customHeight="1">
      <c r="A52" s="10" t="inlineStr">
        <is>
          <t>Filing deadline: K-1 must be furnished to partner by March 15 (or extended deadline if partnership extended).</t>
        </is>
      </c>
    </row>
  </sheetData>
  <mergeCells count="28">
    <mergeCell ref="B14:D14"/>
    <mergeCell ref="B23:D23"/>
    <mergeCell ref="B8:D8"/>
    <mergeCell ref="B17:D17"/>
    <mergeCell ref="A52:D52"/>
    <mergeCell ref="B13:D13"/>
    <mergeCell ref="B10:D10"/>
    <mergeCell ref="B19:D19"/>
    <mergeCell ref="A48:D48"/>
    <mergeCell ref="B9:D9"/>
    <mergeCell ref="A49:D49"/>
    <mergeCell ref="B15:D15"/>
    <mergeCell ref="A51:D51"/>
    <mergeCell ref="B24:D24"/>
    <mergeCell ref="B20:D20"/>
    <mergeCell ref="A1:D1"/>
    <mergeCell ref="A6:D6"/>
    <mergeCell ref="B7:D7"/>
    <mergeCell ref="B16:D16"/>
    <mergeCell ref="A12:D12"/>
    <mergeCell ref="B22:D22"/>
    <mergeCell ref="A50:D50"/>
    <mergeCell ref="A3:D3"/>
    <mergeCell ref="A26:D26"/>
    <mergeCell ref="B18:D18"/>
    <mergeCell ref="B21:D21"/>
    <mergeCell ref="A2:D2"/>
    <mergeCell ref="A47:D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55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Schedule K-1 (Form 1065) — Phil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4">
      <c r="A4" s="3" t="inlineStr">
        <is>
          <t>Partner: Phil  |  Ownership: 1.6000%</t>
        </is>
      </c>
    </row>
    <row r="6">
      <c r="A6" s="8" t="inlineStr">
        <is>
          <t>PART I — INFORMATION ABOUT THE PARTNERSHIP</t>
        </is>
      </c>
    </row>
    <row r="7">
      <c r="A7" s="6" t="inlineStr">
        <is>
          <t>A. Partnership EIN</t>
        </is>
      </c>
      <c r="B7" s="7" t="inlineStr">
        <is>
          <t>⚠️ TO PROVIDE</t>
        </is>
      </c>
      <c r="C7" s="7" t="n"/>
      <c r="D7" s="7" t="n"/>
    </row>
    <row r="8">
      <c r="A8" s="6" t="inlineStr">
        <is>
          <t>B. Partnership name + address</t>
        </is>
      </c>
      <c r="B8" s="7" t="inlineStr">
        <is>
          <t>Armada Prime Tech LLC  |  ⚠️ ADDRESS TO PROVIDE</t>
        </is>
      </c>
      <c r="C8" s="7" t="n"/>
      <c r="D8" s="7" t="n"/>
    </row>
    <row r="9">
      <c r="A9" s="4" t="inlineStr">
        <is>
          <t>C. IRS Center where partnership filed</t>
        </is>
      </c>
      <c r="B9" t="inlineStr">
        <is>
          <t>Form 1065 e-filed</t>
        </is>
      </c>
    </row>
    <row r="10">
      <c r="A10" s="4" t="inlineStr">
        <is>
          <t>D. Check if publicly traded partnership</t>
        </is>
      </c>
      <c r="B10" t="inlineStr">
        <is>
          <t>No</t>
        </is>
      </c>
    </row>
    <row r="12">
      <c r="A12" s="8" t="inlineStr">
        <is>
          <t>PART II — INFORMATION ABOUT THE PARTNER</t>
        </is>
      </c>
    </row>
    <row r="13">
      <c r="A13" s="6" t="inlineStr">
        <is>
          <t>E. Partner SSN/EIN</t>
        </is>
      </c>
      <c r="B13" s="7" t="inlineStr">
        <is>
          <t>⚠️ TO PROVIDE</t>
        </is>
      </c>
      <c r="C13" s="7" t="n"/>
      <c r="D13" s="7" t="n"/>
    </row>
    <row r="14">
      <c r="A14" s="6" t="inlineStr">
        <is>
          <t>F. Partner name + address</t>
        </is>
      </c>
      <c r="B14" s="7" t="inlineStr">
        <is>
          <t>Phil  |  ⚠️ ADDRESS TO PROVIDE</t>
        </is>
      </c>
      <c r="C14" s="7" t="n"/>
      <c r="D14" s="7" t="n"/>
    </row>
    <row r="15">
      <c r="A15" s="4" t="inlineStr">
        <is>
          <t>G. General/limited partner</t>
        </is>
      </c>
      <c r="B15" t="inlineStr">
        <is>
          <t>General partner (LLC member-manager)</t>
        </is>
      </c>
    </row>
    <row r="16">
      <c r="A16" s="4" t="inlineStr">
        <is>
          <t>H1. Domestic or foreign partner</t>
        </is>
      </c>
      <c r="B16" t="inlineStr">
        <is>
          <t>Domestic</t>
        </is>
      </c>
    </row>
    <row r="17">
      <c r="A17" s="4" t="inlineStr">
        <is>
          <t>H2. Disregarded entity TIN</t>
        </is>
      </c>
      <c r="B17" t="inlineStr">
        <is>
          <t>N/A</t>
        </is>
      </c>
    </row>
    <row r="18">
      <c r="A18" s="4" t="inlineStr">
        <is>
          <t>I1. Partner type</t>
        </is>
      </c>
      <c r="B18" t="inlineStr">
        <is>
          <t>Individual</t>
        </is>
      </c>
    </row>
    <row r="19">
      <c r="A19" s="4" t="inlineStr">
        <is>
          <t>J. Partner's share of profit/loss/capital — beginning</t>
        </is>
      </c>
      <c r="B19" t="inlineStr">
        <is>
          <t>0.00% (new entity)</t>
        </is>
      </c>
    </row>
    <row r="20">
      <c r="A20" s="4" t="inlineStr">
        <is>
          <t>J. Partner's share of profit/loss/capital — ending</t>
        </is>
      </c>
      <c r="B20" t="inlineStr">
        <is>
          <t>1.6000%</t>
        </is>
      </c>
    </row>
    <row r="21">
      <c r="A21" s="4" t="inlineStr">
        <is>
          <t>K. Partner's share of liabilities</t>
        </is>
      </c>
      <c r="B21" t="inlineStr">
        <is>
          <t>$0 (no recourse/non-recourse debt)</t>
        </is>
      </c>
    </row>
    <row r="22">
      <c r="A22" s="4" t="inlineStr">
        <is>
          <t>L. Partner's capital account analysis</t>
        </is>
      </c>
      <c r="B22" t="inlineStr">
        <is>
          <t>See Schedule M-2 (Tab 9)</t>
        </is>
      </c>
    </row>
    <row r="23">
      <c r="A23" s="4" t="inlineStr">
        <is>
          <t>M. Did partner contribute property with built-in gain/loss?</t>
        </is>
      </c>
      <c r="B23" t="inlineStr">
        <is>
          <t>No</t>
        </is>
      </c>
    </row>
    <row r="24">
      <c r="A24" s="4" t="inlineStr">
        <is>
          <t>N. Partner's share of unrecognized §704(c) gain/loss</t>
        </is>
      </c>
      <c r="B24" t="inlineStr">
        <is>
          <t>$0</t>
        </is>
      </c>
    </row>
    <row r="26">
      <c r="A26" s="8" t="inlineStr">
        <is>
          <t>PART III — PARTNER'S SHARE OF INCOME / DEDUCTIONS / CREDITS</t>
        </is>
      </c>
    </row>
    <row r="27">
      <c r="A27" s="12" t="inlineStr">
        <is>
          <t>Box</t>
        </is>
      </c>
      <c r="B27" s="12" t="inlineStr">
        <is>
          <t>Item</t>
        </is>
      </c>
      <c r="C27" s="12" t="inlineStr">
        <is>
          <t>Amount ($)</t>
        </is>
      </c>
      <c r="D27" s="12" t="inlineStr">
        <is>
          <t>Notes</t>
        </is>
      </c>
    </row>
    <row r="28">
      <c r="A28" s="5" t="inlineStr">
        <is>
          <t>1</t>
        </is>
      </c>
      <c r="B28" s="5" t="inlineStr">
        <is>
          <t>Ordinary business income (loss)</t>
        </is>
      </c>
      <c r="C28" s="11" t="n">
        <v>245.09152</v>
      </c>
      <c r="D28" s="21">
        <f> 1.6000% of partnership ordinary income (Form 1065 Line 22). Reported on Schedule E Part II of partner's 1040.</f>
        <v/>
      </c>
    </row>
    <row r="29">
      <c r="A29" t="inlineStr">
        <is>
          <t>2</t>
        </is>
      </c>
      <c r="B29" t="inlineStr">
        <is>
          <t>Net rental real estate income (loss)</t>
        </is>
      </c>
      <c r="C29" s="15" t="n">
        <v>0</v>
      </c>
      <c r="D29" s="10" t="inlineStr"/>
    </row>
    <row r="30">
      <c r="A30" t="inlineStr">
        <is>
          <t>3</t>
        </is>
      </c>
      <c r="B30" t="inlineStr">
        <is>
          <t>Other net rental income (loss)</t>
        </is>
      </c>
      <c r="C30" s="15" t="n">
        <v>0</v>
      </c>
      <c r="D30" s="10" t="inlineStr"/>
    </row>
    <row r="31">
      <c r="A31" t="inlineStr">
        <is>
          <t>4a</t>
        </is>
      </c>
      <c r="B31" t="inlineStr">
        <is>
          <t>Guaranteed payments for services</t>
        </is>
      </c>
      <c r="C31" s="15" t="n">
        <v>0</v>
      </c>
      <c r="D31" s="10" t="inlineStr"/>
    </row>
    <row r="32">
      <c r="A32" t="inlineStr">
        <is>
          <t>4b</t>
        </is>
      </c>
      <c r="B32" t="inlineStr">
        <is>
          <t>Guaranteed payments for capital</t>
        </is>
      </c>
      <c r="C32" s="15" t="n">
        <v>0</v>
      </c>
      <c r="D32" s="10" t="inlineStr"/>
    </row>
    <row r="33">
      <c r="A33" t="inlineStr">
        <is>
          <t>5</t>
        </is>
      </c>
      <c r="B33" t="inlineStr">
        <is>
          <t>Interest income</t>
        </is>
      </c>
      <c r="C33" s="15" t="n">
        <v>0</v>
      </c>
      <c r="D33" s="10" t="inlineStr"/>
    </row>
    <row r="34">
      <c r="A34" t="inlineStr">
        <is>
          <t>6a</t>
        </is>
      </c>
      <c r="B34" t="inlineStr">
        <is>
          <t>Ordinary dividends</t>
        </is>
      </c>
      <c r="C34" s="15" t="n">
        <v>0</v>
      </c>
      <c r="D34" s="10" t="inlineStr"/>
    </row>
    <row r="35">
      <c r="A35" t="inlineStr">
        <is>
          <t>6b</t>
        </is>
      </c>
      <c r="B35" t="inlineStr">
        <is>
          <t>Qualified dividends</t>
        </is>
      </c>
      <c r="C35" s="15" t="n">
        <v>0</v>
      </c>
      <c r="D35" s="10" t="inlineStr"/>
    </row>
    <row r="36">
      <c r="A36" t="inlineStr">
        <is>
          <t>7</t>
        </is>
      </c>
      <c r="B36" t="inlineStr">
        <is>
          <t>Royalties</t>
        </is>
      </c>
      <c r="C36" s="15" t="n">
        <v>0</v>
      </c>
      <c r="D36" s="10" t="inlineStr"/>
    </row>
    <row r="37">
      <c r="A37" t="inlineStr">
        <is>
          <t>8</t>
        </is>
      </c>
      <c r="B37" t="inlineStr">
        <is>
          <t>Net short-term capital gain (loss)</t>
        </is>
      </c>
      <c r="C37" s="15" t="n">
        <v>0</v>
      </c>
      <c r="D37" s="10" t="inlineStr"/>
    </row>
    <row r="38">
      <c r="A38" t="inlineStr">
        <is>
          <t>9a</t>
        </is>
      </c>
      <c r="B38" t="inlineStr">
        <is>
          <t>Net long-term capital gain (loss)</t>
        </is>
      </c>
      <c r="C38" s="15" t="n">
        <v>0</v>
      </c>
      <c r="D38" s="10" t="inlineStr"/>
    </row>
    <row r="39">
      <c r="A39" t="inlineStr">
        <is>
          <t>10</t>
        </is>
      </c>
      <c r="B39" t="inlineStr">
        <is>
          <t>Net section 1231 gain (loss)</t>
        </is>
      </c>
      <c r="C39" s="15" t="n">
        <v>0</v>
      </c>
      <c r="D39" s="10" t="inlineStr"/>
    </row>
    <row r="40">
      <c r="A40" t="inlineStr">
        <is>
          <t>11</t>
        </is>
      </c>
      <c r="B40" t="inlineStr">
        <is>
          <t>Other income (loss)</t>
        </is>
      </c>
      <c r="C40" s="15" t="n">
        <v>0</v>
      </c>
      <c r="D40" s="10" t="inlineStr"/>
    </row>
    <row r="41">
      <c r="A41" t="inlineStr">
        <is>
          <t>12</t>
        </is>
      </c>
      <c r="B41" t="inlineStr">
        <is>
          <t>Section 179 deduction</t>
        </is>
      </c>
      <c r="C41" s="15" t="n">
        <v>0</v>
      </c>
      <c r="D41" s="10" t="inlineStr"/>
    </row>
    <row r="42">
      <c r="A42" t="inlineStr">
        <is>
          <t>13</t>
        </is>
      </c>
      <c r="B42" t="inlineStr">
        <is>
          <t>Other deductions</t>
        </is>
      </c>
      <c r="C42" s="15" t="n">
        <v>0</v>
      </c>
      <c r="D42" s="10" t="inlineStr"/>
    </row>
    <row r="43">
      <c r="A43" t="inlineStr">
        <is>
          <t>14</t>
        </is>
      </c>
      <c r="B43" t="inlineStr">
        <is>
          <t>Self-employment earnings (loss)</t>
        </is>
      </c>
      <c r="C43" s="15" t="n">
        <v>245.09152</v>
      </c>
      <c r="D43" s="10" t="inlineStr">
        <is>
          <t>If partner is an active managing member, this is SE-taxable. Verify Raj/Phil's status.</t>
        </is>
      </c>
    </row>
    <row r="44">
      <c r="A44" t="inlineStr">
        <is>
          <t>19A</t>
        </is>
      </c>
      <c r="B44" t="inlineStr">
        <is>
          <t>Cash distributions</t>
        </is>
      </c>
      <c r="C44" s="15" t="n">
        <v>946.97</v>
      </c>
      <c r="D44" s="10" t="inlineStr">
        <is>
          <t>Cash actually received from the partnership in 2025. Reduces partner's outside basis / capital account.</t>
        </is>
      </c>
    </row>
    <row r="45">
      <c r="A45" t="inlineStr">
        <is>
          <t>20Z</t>
        </is>
      </c>
      <c r="B45" t="inlineStr">
        <is>
          <t>QBI deduction info (Section 199A)</t>
        </is>
      </c>
      <c r="C45" s="15" t="n">
        <v>245.09152</v>
      </c>
      <c r="D45" s="10" t="inlineStr">
        <is>
          <t>Qualified Business Income for §199A purposes. Capital management may be SSTB — confirm phase-out applicability.</t>
        </is>
      </c>
    </row>
    <row r="47">
      <c r="A47" s="8" t="inlineStr">
        <is>
          <t>PARTNER'S TAX OBLIGATIONS — QUICK REFERENCE</t>
        </is>
      </c>
    </row>
    <row r="48" ht="30" customHeight="1">
      <c r="A48" s="10" t="inlineStr">
        <is>
          <t>Box 1 amount ($245.09) is ordinary income. Add to your Schedule E Part II, then to your 1040 Line 8.</t>
        </is>
      </c>
    </row>
    <row r="49" ht="30" customHeight="1">
      <c r="A49" s="10" t="inlineStr">
        <is>
          <t>Box 14 ($245.09) is subject to Self-Employment Tax (Schedule SE) if you're an active managing member.</t>
        </is>
      </c>
    </row>
    <row r="50" ht="30" customHeight="1">
      <c r="A50" s="10" t="inlineStr">
        <is>
          <t>Box 19A ($946.97) cash distributions are NOT additionally taxed — they reduce your capital account / outside basis.</t>
        </is>
      </c>
    </row>
    <row r="51" ht="30" customHeight="1">
      <c r="A51" s="10" t="inlineStr">
        <is>
          <t>Box 20Z provides QBI info for §199A 20% deduction (subject to income phase-out).</t>
        </is>
      </c>
    </row>
    <row r="52" ht="30" customHeight="1">
      <c r="A52" s="10" t="inlineStr">
        <is>
          <t>Filing deadline: K-1 must be furnished to partner by March 15 (or extended deadline if partnership extended).</t>
        </is>
      </c>
    </row>
  </sheetData>
  <mergeCells count="28">
    <mergeCell ref="B14:D14"/>
    <mergeCell ref="B23:D23"/>
    <mergeCell ref="B8:D8"/>
    <mergeCell ref="B17:D17"/>
    <mergeCell ref="A52:D52"/>
    <mergeCell ref="B13:D13"/>
    <mergeCell ref="B10:D10"/>
    <mergeCell ref="B19:D19"/>
    <mergeCell ref="A48:D48"/>
    <mergeCell ref="B9:D9"/>
    <mergeCell ref="A49:D49"/>
    <mergeCell ref="B15:D15"/>
    <mergeCell ref="A51:D51"/>
    <mergeCell ref="B24:D24"/>
    <mergeCell ref="B20:D20"/>
    <mergeCell ref="A1:D1"/>
    <mergeCell ref="A6:D6"/>
    <mergeCell ref="B7:D7"/>
    <mergeCell ref="B16:D16"/>
    <mergeCell ref="A12:D12"/>
    <mergeCell ref="B22:D22"/>
    <mergeCell ref="A50:D50"/>
    <mergeCell ref="A3:D3"/>
    <mergeCell ref="A26:D26"/>
    <mergeCell ref="B18:D18"/>
    <mergeCell ref="B21:D21"/>
    <mergeCell ref="A2:D2"/>
    <mergeCell ref="A47:D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2" customWidth="1" min="4" max="4"/>
    <col width="60" customWidth="1" min="5" max="5"/>
  </cols>
  <sheetData>
    <row r="1">
      <c r="A1" s="1" t="inlineStr">
        <is>
          <t>Armada Prime Tech LLC</t>
        </is>
      </c>
    </row>
    <row r="2">
      <c r="A2" s="2" t="inlineStr">
        <is>
          <t>Schedule L — Balance Sheets per Books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12" t="inlineStr">
        <is>
          <t>Line</t>
        </is>
      </c>
      <c r="B5" s="12" t="inlineStr">
        <is>
          <t>Asset / Liability / Equity</t>
        </is>
      </c>
      <c r="C5" s="12" t="inlineStr">
        <is>
          <t>Beginning of Year ($)</t>
        </is>
      </c>
      <c r="D5" s="12" t="inlineStr">
        <is>
          <t>End of Year ($)</t>
        </is>
      </c>
      <c r="E5" s="12" t="inlineStr">
        <is>
          <t>Notes</t>
        </is>
      </c>
    </row>
    <row r="6">
      <c r="A6" s="8" t="inlineStr">
        <is>
          <t>ASSETS (Lines 1–14)</t>
        </is>
      </c>
    </row>
    <row r="7">
      <c r="A7" s="7" t="inlineStr">
        <is>
          <t>1</t>
        </is>
      </c>
      <c r="B7" s="7" t="inlineStr">
        <is>
          <t>Cash</t>
        </is>
      </c>
      <c r="C7" s="22" t="n">
        <v>0</v>
      </c>
      <c r="D7" s="7" t="n"/>
      <c r="E7" s="23" t="inlineStr">
        <is>
          <t>⚠️ TO PROVIDE — bank + crypto wallet balances as of 12/31/2025</t>
        </is>
      </c>
    </row>
    <row r="8">
      <c r="A8" t="inlineStr">
        <is>
          <t>2a</t>
        </is>
      </c>
      <c r="B8" t="inlineStr">
        <is>
          <t>Trade notes and accounts receivable</t>
        </is>
      </c>
      <c r="C8" s="15" t="n">
        <v>0</v>
      </c>
      <c r="D8" s="15" t="n">
        <v>0</v>
      </c>
      <c r="E8" s="10" t="inlineStr"/>
    </row>
    <row r="9">
      <c r="A9" t="inlineStr">
        <is>
          <t>2b</t>
        </is>
      </c>
      <c r="B9" t="inlineStr">
        <is>
          <t>Less: allowance for bad debts</t>
        </is>
      </c>
      <c r="C9" s="15" t="n">
        <v>0</v>
      </c>
      <c r="D9" s="15" t="n">
        <v>0</v>
      </c>
      <c r="E9" s="10" t="inlineStr"/>
    </row>
    <row r="10">
      <c r="A10" t="inlineStr">
        <is>
          <t>3</t>
        </is>
      </c>
      <c r="B10" t="inlineStr">
        <is>
          <t>Inventories</t>
        </is>
      </c>
      <c r="C10" s="15" t="n">
        <v>0</v>
      </c>
      <c r="D10" s="15" t="n">
        <v>0</v>
      </c>
      <c r="E10" s="10" t="inlineStr">
        <is>
          <t>N/A — services only</t>
        </is>
      </c>
    </row>
    <row r="11">
      <c r="A11" t="inlineStr">
        <is>
          <t>4</t>
        </is>
      </c>
      <c r="B11" t="inlineStr">
        <is>
          <t>U.S. government obligations</t>
        </is>
      </c>
      <c r="C11" s="15" t="n">
        <v>0</v>
      </c>
      <c r="D11" s="15" t="n">
        <v>0</v>
      </c>
      <c r="E11" s="10" t="inlineStr"/>
    </row>
    <row r="12">
      <c r="A12" t="inlineStr">
        <is>
          <t>5</t>
        </is>
      </c>
      <c r="B12" t="inlineStr">
        <is>
          <t>Tax-exempt securities</t>
        </is>
      </c>
      <c r="C12" s="15" t="n">
        <v>0</v>
      </c>
      <c r="D12" s="15" t="n">
        <v>0</v>
      </c>
      <c r="E12" s="10" t="inlineStr"/>
    </row>
    <row r="13">
      <c r="A13" t="inlineStr">
        <is>
          <t>6</t>
        </is>
      </c>
      <c r="B13" t="inlineStr">
        <is>
          <t>Other current assets</t>
        </is>
      </c>
      <c r="C13" s="15" t="n">
        <v>0</v>
      </c>
      <c r="D13" s="15" t="n">
        <v>10500</v>
      </c>
      <c r="E13" s="10" t="inlineStr">
        <is>
          <t>Prepaid Insurance — $18K Dec policy less $7,500 to 2025 = $10,500 prepaid for 2026 coverage. ⚠️ Verify accountant chooses 12-month prepaid rule.</t>
        </is>
      </c>
    </row>
    <row r="14">
      <c r="A14" t="inlineStr">
        <is>
          <t>7</t>
        </is>
      </c>
      <c r="B14" t="inlineStr">
        <is>
          <t>Loans to partners (or persons related to partners)</t>
        </is>
      </c>
      <c r="C14" s="15" t="n">
        <v>0</v>
      </c>
      <c r="D14" s="15" t="n">
        <v>0</v>
      </c>
      <c r="E14" s="10" t="inlineStr"/>
    </row>
    <row r="15">
      <c r="A15" t="inlineStr">
        <is>
          <t>8</t>
        </is>
      </c>
      <c r="B15" t="inlineStr">
        <is>
          <t>Mortgage and real estate loans</t>
        </is>
      </c>
      <c r="C15" s="15" t="n">
        <v>0</v>
      </c>
      <c r="D15" s="15" t="n">
        <v>0</v>
      </c>
      <c r="E15" s="10" t="inlineStr"/>
    </row>
    <row r="16">
      <c r="A16" t="inlineStr">
        <is>
          <t>9</t>
        </is>
      </c>
      <c r="B16" t="inlineStr">
        <is>
          <t>Other investments</t>
        </is>
      </c>
      <c r="C16" s="15" t="n">
        <v>0</v>
      </c>
      <c r="D16" s="15" t="n">
        <v>4275</v>
      </c>
      <c r="E16" s="10" t="inlineStr">
        <is>
          <t>506c SPV Loan / Investment — $4,275.00 (Aug $4,275 + Oct $25,000). Reclassified from P&amp;L. ⚠️ Confirm whether loan receivable or equity investment.</t>
        </is>
      </c>
    </row>
    <row r="17">
      <c r="A17" t="inlineStr">
        <is>
          <t>10a</t>
        </is>
      </c>
      <c r="B17" t="inlineStr">
        <is>
          <t>Buildings and other depreciable assets</t>
        </is>
      </c>
      <c r="C17" s="15" t="n">
        <v>0</v>
      </c>
      <c r="D17" s="15" t="n">
        <v>0</v>
      </c>
      <c r="E17" s="10" t="inlineStr"/>
    </row>
    <row r="18">
      <c r="A18" t="inlineStr">
        <is>
          <t>10b</t>
        </is>
      </c>
      <c r="B18" t="inlineStr">
        <is>
          <t>Less accumulated depreciation</t>
        </is>
      </c>
      <c r="C18" s="15" t="n">
        <v>0</v>
      </c>
      <c r="D18" s="15" t="n">
        <v>0</v>
      </c>
      <c r="E18" s="10" t="inlineStr"/>
    </row>
    <row r="19">
      <c r="A19" t="inlineStr">
        <is>
          <t>11</t>
        </is>
      </c>
      <c r="B19" t="inlineStr">
        <is>
          <t>Depletable assets</t>
        </is>
      </c>
      <c r="C19" s="15" t="n">
        <v>0</v>
      </c>
      <c r="D19" s="15" t="n">
        <v>0</v>
      </c>
      <c r="E19" s="10" t="inlineStr"/>
    </row>
    <row r="20">
      <c r="A20" t="inlineStr">
        <is>
          <t>11b</t>
        </is>
      </c>
      <c r="B20" t="inlineStr">
        <is>
          <t>Less accumulated depletion</t>
        </is>
      </c>
      <c r="C20" s="15" t="n">
        <v>0</v>
      </c>
      <c r="D20" s="15" t="n">
        <v>0</v>
      </c>
      <c r="E20" s="10" t="inlineStr"/>
    </row>
    <row r="21">
      <c r="A21" t="inlineStr">
        <is>
          <t>12</t>
        </is>
      </c>
      <c r="B21" t="inlineStr">
        <is>
          <t>Land</t>
        </is>
      </c>
      <c r="C21" s="15" t="n">
        <v>0</v>
      </c>
      <c r="D21" s="15" t="n">
        <v>0</v>
      </c>
      <c r="E21" s="10" t="inlineStr"/>
    </row>
    <row r="22">
      <c r="A22" t="inlineStr">
        <is>
          <t>13</t>
        </is>
      </c>
      <c r="B22" t="inlineStr">
        <is>
          <t>Intangible assets (amortizable only)</t>
        </is>
      </c>
      <c r="C22" s="15" t="n">
        <v>0</v>
      </c>
      <c r="D22" s="15" t="n">
        <v>0</v>
      </c>
      <c r="E22" s="10" t="inlineStr"/>
    </row>
    <row r="23">
      <c r="A23" t="inlineStr">
        <is>
          <t>13b</t>
        </is>
      </c>
      <c r="B23" t="inlineStr">
        <is>
          <t>Less accumulated amortization</t>
        </is>
      </c>
      <c r="C23" s="15" t="n">
        <v>0</v>
      </c>
      <c r="D23" s="15" t="n">
        <v>0</v>
      </c>
      <c r="E23" s="10" t="inlineStr"/>
    </row>
    <row r="24">
      <c r="A24" t="inlineStr">
        <is>
          <t>14</t>
        </is>
      </c>
      <c r="B24" t="inlineStr">
        <is>
          <t>Other assets (statement)</t>
        </is>
      </c>
      <c r="C24" s="15" t="n">
        <v>0</v>
      </c>
      <c r="D24" s="15" t="n">
        <v>0</v>
      </c>
      <c r="E24" s="10" t="inlineStr"/>
    </row>
    <row r="25">
      <c r="A25" s="18" t="inlineStr">
        <is>
          <t>15</t>
        </is>
      </c>
      <c r="B25" s="18" t="inlineStr">
        <is>
          <t>TOTAL ASSETS</t>
        </is>
      </c>
      <c r="C25" s="19" t="n">
        <v>0</v>
      </c>
      <c r="D25" s="19" t="n">
        <v>14775</v>
      </c>
      <c r="E25" s="20" t="inlineStr">
        <is>
          <t>Excludes cash placeholder</t>
        </is>
      </c>
    </row>
    <row r="27">
      <c r="A27" s="8" t="inlineStr">
        <is>
          <t>LIABILITIES AND CAPITAL (Lines 16–22)</t>
        </is>
      </c>
    </row>
    <row r="28">
      <c r="A28" s="7" t="inlineStr">
        <is>
          <t>16</t>
        </is>
      </c>
      <c r="B28" s="7" t="inlineStr">
        <is>
          <t>Accounts payable</t>
        </is>
      </c>
      <c r="C28" s="22" t="n">
        <v>0</v>
      </c>
      <c r="D28" s="22" t="n">
        <v>0</v>
      </c>
      <c r="E28" s="23" t="inlineStr">
        <is>
          <t>⚠️ Verify with accountant — any unpaid contractor amounts as of 12/31?</t>
        </is>
      </c>
    </row>
    <row r="29">
      <c r="A29" t="inlineStr">
        <is>
          <t>17</t>
        </is>
      </c>
      <c r="B29" t="inlineStr">
        <is>
          <t>Mortgages, notes, bonds payable in less than 1 year</t>
        </is>
      </c>
      <c r="C29" s="15" t="n">
        <v>0</v>
      </c>
      <c r="D29" s="15" t="n">
        <v>0</v>
      </c>
      <c r="E29" s="10" t="inlineStr"/>
    </row>
    <row r="30">
      <c r="A30" t="inlineStr">
        <is>
          <t>18</t>
        </is>
      </c>
      <c r="B30" t="inlineStr">
        <is>
          <t>Other current liabilities (statement)</t>
        </is>
      </c>
      <c r="C30" s="15" t="n">
        <v>0</v>
      </c>
      <c r="D30" s="15" t="n">
        <v>0</v>
      </c>
      <c r="E30" s="10" t="inlineStr"/>
    </row>
    <row r="31">
      <c r="A31" t="inlineStr">
        <is>
          <t>19a</t>
        </is>
      </c>
      <c r="B31" t="inlineStr">
        <is>
          <t>All nonrecourse loans</t>
        </is>
      </c>
      <c r="C31" s="15" t="n">
        <v>0</v>
      </c>
      <c r="D31" s="15" t="n">
        <v>0</v>
      </c>
      <c r="E31" s="10" t="inlineStr"/>
    </row>
    <row r="32">
      <c r="A32" t="inlineStr">
        <is>
          <t>19b</t>
        </is>
      </c>
      <c r="B32" t="inlineStr">
        <is>
          <t>Loans from partners (or persons related to partners)</t>
        </is>
      </c>
      <c r="C32" s="15" t="n">
        <v>0</v>
      </c>
      <c r="D32" s="15" t="n">
        <v>0</v>
      </c>
      <c r="E32" s="10" t="inlineStr"/>
    </row>
    <row r="33">
      <c r="A33" t="inlineStr">
        <is>
          <t>20</t>
        </is>
      </c>
      <c r="B33" t="inlineStr">
        <is>
          <t>Mortgages, notes, bonds payable in 1 year or more</t>
        </is>
      </c>
      <c r="C33" s="15" t="n">
        <v>0</v>
      </c>
      <c r="D33" s="15" t="n">
        <v>0</v>
      </c>
      <c r="E33" s="10" t="inlineStr"/>
    </row>
    <row r="34">
      <c r="A34" t="inlineStr">
        <is>
          <t>21</t>
        </is>
      </c>
      <c r="B34" t="inlineStr">
        <is>
          <t>Other liabilities (statement)</t>
        </is>
      </c>
      <c r="C34" s="15" t="n">
        <v>0</v>
      </c>
      <c r="D34" s="15" t="n">
        <v>0</v>
      </c>
      <c r="E34" s="10" t="inlineStr"/>
    </row>
    <row r="35">
      <c r="A35" s="18" t="inlineStr">
        <is>
          <t>—</t>
        </is>
      </c>
      <c r="B35" s="18" t="inlineStr">
        <is>
          <t>TOTAL LIABILITIES</t>
        </is>
      </c>
      <c r="C35" s="19" t="n">
        <v>0</v>
      </c>
      <c r="D35" s="19" t="n">
        <v>0</v>
      </c>
      <c r="E35" s="20" t="inlineStr"/>
    </row>
    <row r="37">
      <c r="A37" s="8" t="inlineStr">
        <is>
          <t>PARTNERS' CAPITAL ACCOUNTS</t>
        </is>
      </c>
    </row>
    <row r="38">
      <c r="A38" t="inlineStr">
        <is>
          <t>22</t>
        </is>
      </c>
      <c r="B38" t="inlineStr">
        <is>
          <t>Partners' capital accounts</t>
        </is>
      </c>
      <c r="C38" s="15" t="n">
        <v>0</v>
      </c>
      <c r="D38" s="15" t="n">
        <v>-20764.6</v>
      </c>
      <c r="E38" s="10">
        <f> Net Income for the year − Cumulative Distributions. ⚠️ Add any member capital contributions.</f>
        <v/>
      </c>
    </row>
    <row r="40">
      <c r="A40" s="5" t="inlineStr">
        <is>
          <t>23</t>
        </is>
      </c>
      <c r="B40" s="5" t="inlineStr">
        <is>
          <t>TOTAL LIABILITIES + CAPITAL</t>
        </is>
      </c>
      <c r="C40" s="11" t="n">
        <v>0</v>
      </c>
      <c r="D40" s="11" t="n">
        <v>-20764.6</v>
      </c>
      <c r="E40" s="21" t="inlineStr">
        <is>
          <t>Should equal Total Assets when fully populated</t>
        </is>
      </c>
    </row>
    <row r="43">
      <c r="A43" s="8" t="inlineStr">
        <is>
          <t>BALANCE CHECK / NOTES</t>
        </is>
      </c>
    </row>
    <row r="44" ht="35" customHeight="1">
      <c r="A44" s="10" t="inlineStr">
        <is>
          <t>This Schedule L is best-effort built from transaction data. PLACEHOLDER cells (cash, AP, member capital contributions) need to be populated by the accountant from bank statements and capital records.</t>
        </is>
      </c>
    </row>
    <row r="45" ht="35" customHeight="1">
      <c r="A45" s="10" t="inlineStr">
        <is>
          <t>Total Assets shown ($14,775.00) excludes cash. Once Cash + member capital contributions are filled in, the sheet should balance.</t>
        </is>
      </c>
    </row>
    <row r="46" ht="35" customHeight="1">
      <c r="A46" s="10" t="inlineStr">
        <is>
          <t>First-year filing: beginning-of-year balances are $0 (entity was formed at the Armada Prime relaunch in Aug 2025).</t>
        </is>
      </c>
    </row>
    <row r="47" ht="35" customHeight="1">
      <c r="A47" s="10" t="inlineStr">
        <is>
          <t>If the operating agreement specifies different capital accounts at formation (e.g., contributions made by Nairne / Raj / Phil), those go on Schedule M-2 and roll into partners' capital here.</t>
        </is>
      </c>
    </row>
  </sheetData>
  <mergeCells count="11">
    <mergeCell ref="A43:E43"/>
    <mergeCell ref="A2:E2"/>
    <mergeCell ref="A47:E47"/>
    <mergeCell ref="A1:E1"/>
    <mergeCell ref="A37:E37"/>
    <mergeCell ref="A45:E45"/>
    <mergeCell ref="A46:E46"/>
    <mergeCell ref="A44:E44"/>
    <mergeCell ref="A6:E6"/>
    <mergeCell ref="A27:E2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55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Schedule M-1 — Reconciliation of Income (Loss) per Books With Income (Loss) per Return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12" t="inlineStr">
        <is>
          <t>Line</t>
        </is>
      </c>
      <c r="B5" s="12" t="inlineStr">
        <is>
          <t>Description</t>
        </is>
      </c>
      <c r="C5" s="12" t="inlineStr">
        <is>
          <t>Amount ($)</t>
        </is>
      </c>
      <c r="D5" s="12" t="inlineStr">
        <is>
          <t>Notes</t>
        </is>
      </c>
    </row>
    <row r="6">
      <c r="A6" t="inlineStr">
        <is>
          <t>1</t>
        </is>
      </c>
      <c r="B6" t="inlineStr">
        <is>
          <t>Net income (loss) per books</t>
        </is>
      </c>
      <c r="C6" s="15" t="n">
        <v>15318.22</v>
      </c>
      <c r="D6" s="10" t="inlineStr">
        <is>
          <t>Should equal Form 1065 Page 1 Line 22 (assuming books and tax return reconcile)</t>
        </is>
      </c>
    </row>
    <row r="7">
      <c r="A7" t="inlineStr">
        <is>
          <t>2</t>
        </is>
      </c>
      <c r="B7" t="inlineStr">
        <is>
          <t>Income included on Schedule K (lines 1, 2, etc.) NOT recorded on books this year</t>
        </is>
      </c>
      <c r="C7" s="15" t="n">
        <v>0</v>
      </c>
      <c r="D7" s="10" t="inlineStr"/>
    </row>
    <row r="8">
      <c r="A8" t="inlineStr">
        <is>
          <t>3</t>
        </is>
      </c>
      <c r="B8" t="inlineStr">
        <is>
          <t>Guaranteed payments to partners (other than health insurance)</t>
        </is>
      </c>
      <c r="C8" s="15" t="n">
        <v>0</v>
      </c>
      <c r="D8" s="10" t="inlineStr"/>
    </row>
    <row r="9">
      <c r="A9" t="inlineStr">
        <is>
          <t>4</t>
        </is>
      </c>
      <c r="B9" t="inlineStr">
        <is>
          <t>Expenses recorded on books this year not deducted on Schedule K (e.g., depreciation)</t>
        </is>
      </c>
      <c r="C9" s="15" t="n">
        <v>0</v>
      </c>
      <c r="D9" s="10" t="inlineStr"/>
    </row>
    <row r="10">
      <c r="A10" s="18" t="inlineStr">
        <is>
          <t>5</t>
        </is>
      </c>
      <c r="B10" s="18" t="inlineStr">
        <is>
          <t>Add lines 1–4</t>
        </is>
      </c>
      <c r="C10" s="19" t="n">
        <v>15318.22</v>
      </c>
      <c r="D10" s="20" t="inlineStr"/>
    </row>
    <row r="11">
      <c r="A11" t="inlineStr">
        <is>
          <t>6</t>
        </is>
      </c>
      <c r="B11" t="inlineStr">
        <is>
          <t>Income recorded on books this year not included on Schedule K</t>
        </is>
      </c>
      <c r="C11" s="15" t="n">
        <v>0</v>
      </c>
      <c r="D11" s="10" t="inlineStr"/>
    </row>
    <row r="12">
      <c r="A12" t="inlineStr">
        <is>
          <t>7</t>
        </is>
      </c>
      <c r="B12" t="inlineStr">
        <is>
          <t>Deductions included on Schedule K not charged against book income this year</t>
        </is>
      </c>
      <c r="C12" s="15" t="n">
        <v>0</v>
      </c>
      <c r="D12" s="10" t="inlineStr"/>
    </row>
    <row r="13">
      <c r="A13" t="inlineStr">
        <is>
          <t>8</t>
        </is>
      </c>
      <c r="B13" t="inlineStr">
        <is>
          <t>Add lines 6 and 7</t>
        </is>
      </c>
      <c r="C13" s="15" t="n">
        <v>0</v>
      </c>
      <c r="D13" s="10" t="inlineStr"/>
    </row>
    <row r="14">
      <c r="A14" s="5" t="inlineStr">
        <is>
          <t>9</t>
        </is>
      </c>
      <c r="B14" s="5" t="inlineStr">
        <is>
          <t>Income (loss) — Analysis of Net Income (Loss) (Sch K Line 1)</t>
        </is>
      </c>
      <c r="C14" s="11" t="n">
        <v>15318.22</v>
      </c>
      <c r="D14" s="21">
        <f> Line 5 − Line 8. Should match Schedule K Line 1.</f>
        <v/>
      </c>
    </row>
    <row r="17">
      <c r="A17" s="8" t="inlineStr">
        <is>
          <t>NOTES</t>
        </is>
      </c>
    </row>
    <row r="18" ht="30" customHeight="1">
      <c r="A18" s="10" t="inlineStr">
        <is>
          <t>Schedule M-1 reconciles BOOK income (your accounting records) to TAXABLE income (Schedule K).</t>
        </is>
      </c>
    </row>
    <row r="19" ht="30" customHeight="1">
      <c r="A19" s="10" t="inlineStr">
        <is>
          <t>For Armada Prime Tech LLC's first year, books and tax should reconcile cleanly — no permanent or temporary differences expected.</t>
        </is>
      </c>
    </row>
    <row r="20" ht="30" customHeight="1">
      <c r="A20" s="10" t="inlineStr">
        <is>
          <t>The 506c SPV reclassification ($4,275 from P&amp;L to balance sheet) is reflected in BOTH books and tax — no M-1 adjustment needed.</t>
        </is>
      </c>
    </row>
    <row r="21" ht="30" customHeight="1">
      <c r="A21" s="10" t="inlineStr">
        <is>
          <t>Insurance ($18K full deduction in 2025) is consistent between books and tax under the 12-month prepaid rule.</t>
        </is>
      </c>
    </row>
  </sheetData>
  <mergeCells count="8">
    <mergeCell ref="A1:D1"/>
    <mergeCell ref="A17:D17"/>
    <mergeCell ref="A18:D18"/>
    <mergeCell ref="A3:D3"/>
    <mergeCell ref="A20:D20"/>
    <mergeCell ref="A21:D21"/>
    <mergeCell ref="A2:D2"/>
    <mergeCell ref="A19:D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Armada Prime Tech LLC</t>
        </is>
      </c>
    </row>
    <row r="2">
      <c r="A2" s="2" t="inlineStr">
        <is>
          <t>Schedule M-2 — Analysis of Partners' Capital Accounts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12" t="inlineStr">
        <is>
          <t>Line</t>
        </is>
      </c>
      <c r="B5" s="12" t="inlineStr">
        <is>
          <t>Description</t>
        </is>
      </c>
      <c r="C5" s="12" t="inlineStr">
        <is>
          <t>Nairne ($)</t>
        </is>
      </c>
      <c r="D5" s="12" t="inlineStr">
        <is>
          <t>Raj Duggal ($)</t>
        </is>
      </c>
      <c r="E5" s="12" t="inlineStr">
        <is>
          <t>Phil ($)</t>
        </is>
      </c>
    </row>
    <row r="6">
      <c r="A6" t="inlineStr">
        <is>
          <t>1</t>
        </is>
      </c>
      <c r="B6" t="inlineStr">
        <is>
          <t>Balance at beginning of year</t>
        </is>
      </c>
      <c r="C6" s="15" t="n">
        <v>0</v>
      </c>
      <c r="D6" s="15" t="n">
        <v>0</v>
      </c>
      <c r="E6" s="15" t="n">
        <v>0</v>
      </c>
    </row>
    <row r="7">
      <c r="A7" s="7" t="inlineStr">
        <is>
          <t>2a</t>
        </is>
      </c>
      <c r="B7" s="7" t="inlineStr">
        <is>
          <t>Capital contributed during year — cash</t>
        </is>
      </c>
      <c r="C7" s="7" t="n"/>
      <c r="D7" s="7" t="n"/>
      <c r="E7" s="7" t="n"/>
    </row>
    <row r="8">
      <c r="A8" s="7" t="inlineStr">
        <is>
          <t>2b</t>
        </is>
      </c>
      <c r="B8" s="7" t="inlineStr">
        <is>
          <t>Capital contributed during year — property</t>
        </is>
      </c>
      <c r="C8" s="7" t="n"/>
      <c r="D8" s="7" t="n"/>
      <c r="E8" s="7" t="n"/>
    </row>
    <row r="9">
      <c r="A9" s="4" t="inlineStr">
        <is>
          <t>3</t>
        </is>
      </c>
      <c r="B9" s="4" t="inlineStr">
        <is>
          <t>Net income (loss) — partner's share</t>
        </is>
      </c>
      <c r="C9" s="16" t="n">
        <v>14828.03696</v>
      </c>
      <c r="D9" s="16" t="n">
        <v>245.09152</v>
      </c>
      <c r="E9" s="16" t="n">
        <v>245.09152</v>
      </c>
    </row>
    <row r="10">
      <c r="A10" t="inlineStr">
        <is>
          <t>4</t>
        </is>
      </c>
      <c r="B10" t="inlineStr">
        <is>
          <t>Other increases (statement)</t>
        </is>
      </c>
      <c r="C10" s="15" t="n">
        <v>0</v>
      </c>
      <c r="D10" s="15" t="n">
        <v>0</v>
      </c>
      <c r="E10" s="15" t="n">
        <v>0</v>
      </c>
    </row>
    <row r="11">
      <c r="A11" s="18" t="inlineStr">
        <is>
          <t>5</t>
        </is>
      </c>
      <c r="B11" s="18" t="inlineStr">
        <is>
          <t>Sum of lines 1–4</t>
        </is>
      </c>
      <c r="C11" s="19" t="n">
        <v>14828.03696</v>
      </c>
      <c r="D11" s="19" t="n">
        <v>245.09152</v>
      </c>
      <c r="E11" s="19" t="n">
        <v>245.09152</v>
      </c>
    </row>
    <row r="12">
      <c r="A12" t="inlineStr">
        <is>
          <t>6a</t>
        </is>
      </c>
      <c r="B12" t="inlineStr">
        <is>
          <t>Distributions of cash</t>
        </is>
      </c>
      <c r="C12" s="15" t="n">
        <v>-34188.88</v>
      </c>
      <c r="D12" s="15" t="n">
        <v>-946.97</v>
      </c>
      <c r="E12" s="15" t="n">
        <v>-946.97</v>
      </c>
    </row>
    <row r="13">
      <c r="A13" t="inlineStr">
        <is>
          <t>6b</t>
        </is>
      </c>
      <c r="B13" t="inlineStr">
        <is>
          <t>Distributions of property</t>
        </is>
      </c>
      <c r="C13" s="15" t="n">
        <v>0</v>
      </c>
      <c r="D13" s="15" t="n">
        <v>0</v>
      </c>
      <c r="E13" s="15" t="n">
        <v>0</v>
      </c>
    </row>
    <row r="14">
      <c r="A14" t="inlineStr">
        <is>
          <t>7</t>
        </is>
      </c>
      <c r="B14" t="inlineStr">
        <is>
          <t>Other decreases (statement)</t>
        </is>
      </c>
      <c r="C14" s="15" t="n">
        <v>0</v>
      </c>
      <c r="D14" s="15" t="n">
        <v>0</v>
      </c>
      <c r="E14" s="15" t="n">
        <v>0</v>
      </c>
    </row>
    <row r="15">
      <c r="A15" s="5" t="inlineStr">
        <is>
          <t>8</t>
        </is>
      </c>
      <c r="B15" s="5" t="inlineStr">
        <is>
          <t>Subtract sum of lines 6 and 7 from line 5</t>
        </is>
      </c>
      <c r="C15" s="11" t="n">
        <v>-19360.84304</v>
      </c>
      <c r="D15" s="11" t="n">
        <v>-701.87848</v>
      </c>
      <c r="E15" s="11" t="n">
        <v>-701.87848</v>
      </c>
    </row>
    <row r="18">
      <c r="A18" s="8" t="inlineStr">
        <is>
          <t>ANALYSIS — Negative Capital Account Risk</t>
        </is>
      </c>
    </row>
    <row r="19" ht="35" customHeight="1">
      <c r="A19" s="10" t="inlineStr">
        <is>
          <t>Nairne ending capital: $-19,360.84 (BEFORE any 2025 capital contributions)</t>
        </is>
      </c>
    </row>
    <row r="20" ht="35" customHeight="1">
      <c r="A20" s="10" t="inlineStr">
        <is>
          <t>Raj ending capital: $-701.88 (BEFORE any 2025 capital contributions)</t>
        </is>
      </c>
    </row>
    <row r="21" ht="35" customHeight="1">
      <c r="A21" s="10" t="inlineStr">
        <is>
          <t>Phil ending capital: $-701.88 (BEFORE any 2025 capital contributions)</t>
        </is>
      </c>
    </row>
    <row r="22" ht="35" customHeight="1">
      <c r="A22" s="10" t="inlineStr">
        <is>
          <t>If a partner's capital account goes negative, the cash distributions exceeded their share of income + capital. This typically means the partner needs to make additional capital contributions OR the distributions are recharacterized.</t>
        </is>
      </c>
    </row>
    <row r="23" ht="35" customHeight="1">
      <c r="A23" s="10" t="inlineStr">
        <is>
          <t>For Nairne: her cash distributions ($85,996.83 if combined Fund Mgmt + direct) exceed her K-1 income share. Either she has substantial 2025 capital contributions to add to Line 2a, OR the operating agreement may treat her Fund Mgmt portion as a guaranteed payment (which would add it back to her income).</t>
        </is>
      </c>
    </row>
    <row r="24" ht="35" customHeight="1">
      <c r="A24" s="10" t="inlineStr">
        <is>
          <t>Recommend: confirm with Monily whether any portion of the $85K Nairne received should be recharacterized as a guaranteed payment (Form 1065 Line 10) to avoid negative capital.</t>
        </is>
      </c>
    </row>
  </sheetData>
  <mergeCells count="10">
    <mergeCell ref="A21:E21"/>
    <mergeCell ref="A20:E20"/>
    <mergeCell ref="A24:E24"/>
    <mergeCell ref="A2:E2"/>
    <mergeCell ref="A19:E19"/>
    <mergeCell ref="A1:E1"/>
    <mergeCell ref="A23:E23"/>
    <mergeCell ref="A22:E22"/>
    <mergeCell ref="A18:E18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</cols>
  <sheetData>
    <row r="1">
      <c r="A1" s="1" t="inlineStr">
        <is>
          <t>Armada Prime Tech LLC</t>
        </is>
      </c>
    </row>
    <row r="2">
      <c r="A2" s="2" t="inlineStr">
        <is>
          <t>1099-NEC Contractor Detail (Supporting Form 1099 Issuance)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12" t="inlineStr">
        <is>
          <t>Recipient</t>
        </is>
      </c>
      <c r="B5" s="12" t="inlineStr">
        <is>
          <t>Aug 2025</t>
        </is>
      </c>
      <c r="C5" s="12" t="inlineStr">
        <is>
          <t>Sep 2025</t>
        </is>
      </c>
      <c r="D5" s="12" t="inlineStr">
        <is>
          <t>Oct 2025</t>
        </is>
      </c>
      <c r="E5" s="12" t="inlineStr">
        <is>
          <t>Nov 2025</t>
        </is>
      </c>
      <c r="F5" s="12" t="inlineStr">
        <is>
          <t>Dec 2025</t>
        </is>
      </c>
      <c r="G5" s="12" t="inlineStr">
        <is>
          <t>2025 Total ($)</t>
        </is>
      </c>
      <c r="H5" s="12" t="inlineStr">
        <is>
          <t>1099 Required?</t>
        </is>
      </c>
    </row>
    <row r="6">
      <c r="A6" t="inlineStr">
        <is>
          <t>Alec Atkinson</t>
        </is>
      </c>
      <c r="B6" s="15" t="n">
        <v>3172.12</v>
      </c>
      <c r="C6" s="15" t="n">
        <v>3561.92</v>
      </c>
      <c r="D6" s="15" t="n">
        <v>11848.88</v>
      </c>
      <c r="E6" s="15" t="n">
        <v>15124.18</v>
      </c>
      <c r="F6" s="15" t="n">
        <v>4369.77</v>
      </c>
      <c r="G6" s="16" t="n">
        <v>38076.87</v>
      </c>
      <c r="H6" t="inlineStr">
        <is>
          <t>Yes (&gt;$600)</t>
        </is>
      </c>
    </row>
    <row r="7">
      <c r="A7" t="inlineStr">
        <is>
          <t>Jake Gordon</t>
        </is>
      </c>
      <c r="B7" s="15" t="n">
        <v>1266.18</v>
      </c>
      <c r="C7" s="15" t="n">
        <v>930.9</v>
      </c>
      <c r="D7" s="15" t="n">
        <v>3218.29</v>
      </c>
      <c r="E7" s="15" t="n">
        <v>4184.51</v>
      </c>
      <c r="F7" s="15" t="n">
        <v>788.78</v>
      </c>
      <c r="G7" s="16" t="n">
        <v>10388.66</v>
      </c>
      <c r="H7" t="inlineStr">
        <is>
          <t>Yes (&gt;$600)</t>
        </is>
      </c>
    </row>
    <row r="8">
      <c r="A8" t="inlineStr">
        <is>
          <t>AJ Affleck</t>
        </is>
      </c>
      <c r="B8" s="15" t="n">
        <v>1743.04</v>
      </c>
      <c r="C8" s="15" t="n">
        <v>6068.58</v>
      </c>
      <c r="D8" s="15" t="n">
        <v>7500.6</v>
      </c>
      <c r="E8" s="15" t="n">
        <v>16567.16</v>
      </c>
      <c r="F8" s="15" t="n">
        <v>5260.51</v>
      </c>
      <c r="G8" s="16" t="n">
        <v>37139.89</v>
      </c>
      <c r="H8" t="inlineStr">
        <is>
          <t>Yes (&gt;$600)</t>
        </is>
      </c>
    </row>
    <row r="9">
      <c r="A9" t="inlineStr">
        <is>
          <t>Issac Morris</t>
        </is>
      </c>
      <c r="D9" s="15" t="n">
        <v>254.12</v>
      </c>
      <c r="E9" s="15" t="n">
        <v>785.85</v>
      </c>
      <c r="F9" s="15" t="n">
        <v>-278.48</v>
      </c>
      <c r="G9" s="16" t="n">
        <v>761.49</v>
      </c>
      <c r="H9" t="inlineStr">
        <is>
          <t>Yes (&gt;$600)</t>
        </is>
      </c>
    </row>
    <row r="10">
      <c r="A10" s="7" t="inlineStr">
        <is>
          <t>Luke Affleck</t>
        </is>
      </c>
      <c r="B10" s="7" t="n"/>
      <c r="C10" s="7" t="n"/>
      <c r="D10" s="7" t="n"/>
      <c r="E10" s="7" t="n"/>
      <c r="F10" s="22" t="n">
        <v>164.9</v>
      </c>
      <c r="G10" s="24" t="n">
        <v>164.9</v>
      </c>
      <c r="H10" s="7" t="inlineStr">
        <is>
          <t>No (&lt;$600)</t>
        </is>
      </c>
    </row>
    <row r="11">
      <c r="A11" s="7" t="inlineStr">
        <is>
          <t>Nikki</t>
        </is>
      </c>
      <c r="B11" s="7" t="n"/>
      <c r="C11" s="7" t="n"/>
      <c r="D11" s="7" t="n"/>
      <c r="E11" s="22" t="n">
        <v>223</v>
      </c>
      <c r="F11" s="7" t="n"/>
      <c r="G11" s="24" t="n">
        <v>223</v>
      </c>
      <c r="H11" s="7" t="inlineStr">
        <is>
          <t>No (&lt;$600 — single Nov payment)</t>
        </is>
      </c>
    </row>
    <row r="12">
      <c r="A12" t="inlineStr">
        <is>
          <t>Chris (operating contractor)</t>
        </is>
      </c>
      <c r="E12" s="15" t="n">
        <v>7500</v>
      </c>
      <c r="F12" s="15" t="n">
        <v>4000</v>
      </c>
      <c r="G12" s="16" t="n">
        <v>11500</v>
      </c>
      <c r="H12" t="inlineStr">
        <is>
          <t>Yes (&gt;$600)</t>
        </is>
      </c>
    </row>
    <row r="13">
      <c r="A13" s="5" t="inlineStr">
        <is>
          <t>TOTAL</t>
        </is>
      </c>
      <c r="B13" s="5" t="n"/>
      <c r="C13" s="5" t="n"/>
      <c r="D13" s="5" t="n"/>
      <c r="E13" s="5" t="n"/>
      <c r="F13" s="5" t="n"/>
      <c r="G13" s="11" t="n">
        <v>98254.81</v>
      </c>
      <c r="H13" s="5" t="n"/>
    </row>
    <row r="15">
      <c r="A15" s="8" t="inlineStr">
        <is>
          <t>NOTES</t>
        </is>
      </c>
    </row>
    <row r="16" ht="30" customHeight="1">
      <c r="A16" s="10" t="inlineStr">
        <is>
          <t>The IRS 1099-NEC threshold is $600. Recipients receiving less than $600 in a calendar year do not require a 1099-NEC.</t>
        </is>
      </c>
    </row>
    <row r="17" ht="30" customHeight="1">
      <c r="A17" s="10" t="inlineStr">
        <is>
          <t>Phil is NOT on this list — Phil is a K-1 partner (per Nairne 2026-05-05). See Tab 6.</t>
        </is>
      </c>
    </row>
    <row r="18" ht="30" customHeight="1">
      <c r="A18" s="10" t="inlineStr">
        <is>
          <t>Each recipient's SSN/EIN and address must be obtained (W-9) before issuing 1099-NEC.</t>
        </is>
      </c>
    </row>
    <row r="19" ht="30" customHeight="1">
      <c r="A19" s="10" t="inlineStr">
        <is>
          <t>1099-NECs must be furnished to recipients by January 31, 2026, and filed with IRS by January 31, 2026.</t>
        </is>
      </c>
    </row>
    <row r="20" ht="30" customHeight="1">
      <c r="A20" s="10" t="inlineStr">
        <is>
          <t>Vendors (PVD, Ad Spend providers, Website builder, Alpha Verification) may also require 1099-NEC if individuals/sole proprietors and &gt;$600. Verify their W-9 status.</t>
        </is>
      </c>
    </row>
  </sheetData>
  <mergeCells count="9">
    <mergeCell ref="A18:H18"/>
    <mergeCell ref="A3:H3"/>
    <mergeCell ref="A15:H15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Armada Prime Tech LLC</t>
        </is>
      </c>
    </row>
    <row r="2">
      <c r="A2" s="2" t="inlineStr">
        <is>
          <t>Operating Expenses — Vendor × Month Detail</t>
        </is>
      </c>
    </row>
    <row r="3">
      <c r="A3" s="3" t="inlineStr">
        <is>
          <t>Form 1065 — Tax Year 2025 — ACCRUAL BASIS  |  Period: Aug 1, 2025 – Dec 31, 2025  |  Generated 2026-05-07</t>
        </is>
      </c>
    </row>
    <row r="5">
      <c r="A5" s="12" t="inlineStr">
        <is>
          <t>Vendor / Item</t>
        </is>
      </c>
      <c r="B5" s="12" t="inlineStr">
        <is>
          <t>Form 1065 Line</t>
        </is>
      </c>
      <c r="C5" s="12" t="inlineStr">
        <is>
          <t>Aug 2025</t>
        </is>
      </c>
      <c r="D5" s="12" t="inlineStr">
        <is>
          <t>Sep 2025</t>
        </is>
      </c>
      <c r="E5" s="12" t="inlineStr">
        <is>
          <t>Oct 2025</t>
        </is>
      </c>
      <c r="F5" s="12" t="inlineStr">
        <is>
          <t>Nov 2025</t>
        </is>
      </c>
      <c r="G5" s="12" t="inlineStr">
        <is>
          <t>Dec 2025</t>
        </is>
      </c>
      <c r="H5" s="12" t="inlineStr">
        <is>
          <t>2025 Total ($)</t>
        </is>
      </c>
    </row>
    <row r="6">
      <c r="A6" t="inlineStr">
        <is>
          <t>Insurance</t>
        </is>
      </c>
      <c r="B6" t="inlineStr">
        <is>
          <t>Line 20 (Other) — Insurance D&amp;O</t>
        </is>
      </c>
      <c r="G6" s="15" t="n">
        <v>18000</v>
      </c>
      <c r="H6" s="16" t="n">
        <v>18000</v>
      </c>
    </row>
    <row r="7">
      <c r="A7" t="inlineStr">
        <is>
          <t>Website</t>
        </is>
      </c>
      <c r="B7" t="inlineStr">
        <is>
          <t>Line 20 (Other) — Marketing</t>
        </is>
      </c>
      <c r="E7" s="15" t="n">
        <v>7500</v>
      </c>
      <c r="H7" s="16" t="n">
        <v>7500</v>
      </c>
    </row>
    <row r="8">
      <c r="A8" t="inlineStr">
        <is>
          <t>Consulting</t>
        </is>
      </c>
      <c r="B8" t="inlineStr"/>
      <c r="F8" s="15" t="n">
        <v>7500</v>
      </c>
      <c r="H8" s="16" t="n">
        <v>7500</v>
      </c>
    </row>
    <row r="9">
      <c r="A9" t="inlineStr">
        <is>
          <t>PVD</t>
        </is>
      </c>
      <c r="B9" t="inlineStr">
        <is>
          <t>Line 20 (Other) — Professional fees</t>
        </is>
      </c>
      <c r="C9" s="15" t="n">
        <v>6000</v>
      </c>
      <c r="H9" s="16" t="n">
        <v>6000</v>
      </c>
    </row>
    <row r="10">
      <c r="A10" t="inlineStr">
        <is>
          <t>TPA (second line)</t>
        </is>
      </c>
      <c r="B10" t="inlineStr">
        <is>
          <t>Line 20 (Other) — Admin/TPA</t>
        </is>
      </c>
      <c r="G10" s="15" t="n">
        <v>4500</v>
      </c>
      <c r="H10" s="16" t="n">
        <v>4500</v>
      </c>
    </row>
    <row r="11">
      <c r="A11" s="7" t="inlineStr">
        <is>
          <t>506c SPV Loan</t>
        </is>
      </c>
      <c r="B11" s="7" t="inlineStr">
        <is>
          <t>*** RECLASSIFIED to Schedule L (Asset)</t>
        </is>
      </c>
      <c r="C11" s="22" t="n">
        <v>4275</v>
      </c>
      <c r="D11" s="7" t="n"/>
      <c r="E11" s="7" t="n"/>
      <c r="F11" s="7" t="n"/>
      <c r="G11" s="7" t="n"/>
      <c r="H11" s="24" t="n">
        <v>4275</v>
      </c>
    </row>
    <row r="12">
      <c r="A12" t="inlineStr">
        <is>
          <t>Chris</t>
        </is>
      </c>
      <c r="B12" t="inlineStr">
        <is>
          <t>Line 20 (Other) — Contractor labor</t>
        </is>
      </c>
      <c r="G12" s="15" t="n">
        <v>4000</v>
      </c>
      <c r="H12" s="16" t="n">
        <v>4000</v>
      </c>
    </row>
    <row r="13">
      <c r="A13" t="inlineStr">
        <is>
          <t>Alpha Verification</t>
        </is>
      </c>
      <c r="B13" t="inlineStr">
        <is>
          <t>Line 20 (Other) — Compliance</t>
        </is>
      </c>
      <c r="F13" s="15" t="n">
        <v>2250</v>
      </c>
      <c r="H13" s="16" t="n">
        <v>2250</v>
      </c>
    </row>
    <row r="14">
      <c r="A14" t="inlineStr">
        <is>
          <t>Formidium (TPA)</t>
        </is>
      </c>
      <c r="B14" t="inlineStr">
        <is>
          <t>Line 20 (Other) — Admin/TPA</t>
        </is>
      </c>
      <c r="F14" s="15" t="n">
        <v>600</v>
      </c>
      <c r="H14" s="16" t="n">
        <v>600</v>
      </c>
    </row>
    <row r="15">
      <c r="A15" t="inlineStr">
        <is>
          <t>TPA (Formidium)</t>
        </is>
      </c>
      <c r="B15" t="inlineStr">
        <is>
          <t>Line 20 (Other) — Admin/TPA</t>
        </is>
      </c>
      <c r="G15" s="15" t="n">
        <v>600</v>
      </c>
      <c r="H15" s="16" t="n">
        <v>600</v>
      </c>
    </row>
    <row r="17">
      <c r="A17" s="5" t="inlineStr">
        <is>
          <t>P&amp;L OP EXPENSES (Form 1065 Line 20)</t>
        </is>
      </c>
      <c r="B17" s="5" t="n"/>
      <c r="C17" s="5" t="n"/>
      <c r="D17" s="5" t="n"/>
      <c r="E17" s="5" t="n"/>
      <c r="F17" s="5" t="n"/>
      <c r="G17" s="5" t="n"/>
      <c r="H17" s="11" t="n">
        <v>50950</v>
      </c>
    </row>
    <row r="18">
      <c r="A18" s="6" t="inlineStr">
        <is>
          <t>RECLASSIFIED TO SCHEDULE L (Balance Sheet)</t>
        </is>
      </c>
      <c r="B18" s="6" t="n"/>
      <c r="C18" s="6" t="n"/>
      <c r="D18" s="6" t="n"/>
      <c r="E18" s="6" t="n"/>
      <c r="F18" s="6" t="n"/>
      <c r="G18" s="6" t="n"/>
      <c r="H18" s="24" t="n">
        <v>4275</v>
      </c>
    </row>
    <row r="19">
      <c r="A19" s="18" t="inlineStr">
        <is>
          <t>GRAND TOTAL CASH OUTFLOWS</t>
        </is>
      </c>
      <c r="B19" s="18" t="n"/>
      <c r="C19" s="18" t="n"/>
      <c r="D19" s="18" t="n"/>
      <c r="E19" s="18" t="n"/>
      <c r="F19" s="18" t="n"/>
      <c r="G19" s="18" t="n"/>
      <c r="H19" s="19" t="n">
        <v>55225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2026-05-07T16:40:46Z</dcterms:created>
  <dcterms:modified xmlns:dcterms="http://purl.org/dc/terms/" xmlns:xsi="http://www.w3.org/2001/XMLSchema-instance" xsi:type="dcterms:W3CDTF">2026-05-07T16:40:46Z</dcterms:modified>
</cp:coreProperties>
</file>