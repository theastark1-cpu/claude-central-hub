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Level" sheetId="1" state="visible" r:id="rId1"/>
    <sheet xmlns:r="http://schemas.openxmlformats.org/officeDocument/2006/relationships" name="Member Distribution" sheetId="2" state="visible" r:id="rId2"/>
    <sheet xmlns:r="http://schemas.openxmlformats.org/officeDocument/2006/relationships" name="Capital Roll" sheetId="3" state="visible" r:id="rId3"/>
    <sheet xmlns:r="http://schemas.openxmlformats.org/officeDocument/2006/relationships" name="Fund Source" sheetId="4" state="visible" r:id="rId4"/>
    <sheet xmlns:r="http://schemas.openxmlformats.org/officeDocument/2006/relationships" name="Source 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2236"/>
      </patternFill>
    </fill>
    <fill>
      <patternFill patternType="solid">
        <fgColor rgb="002A3550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10" fontId="4" fillId="0" borderId="1" pivotButton="0" quotePrefix="0" xfId="0"/>
    <xf numFmtId="10" fontId="3" fillId="3" borderId="1" pivotButton="0" quotePrefix="0" xfId="0"/>
    <xf numFmtId="0" fontId="5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0" fontId="4" fillId="0" borderId="1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  <xf numFmtId="0" fontId="6" fillId="3" borderId="0" pivotButton="0" quotePrefix="0" xfId="0"/>
    <xf numFmtId="10" fontId="6" fillId="3" borderId="0" pivotButton="0" quotePrefix="0" xfId="0"/>
    <xf numFmtId="164" fontId="6" fillId="3" borderId="0" pivotButton="0" quotePrefix="0" xfId="0"/>
    <xf numFmtId="0" fontId="6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16" customWidth="1" min="5" max="5"/>
    <col width="16" customWidth="1" min="6" max="6"/>
    <col width="14" customWidth="1" min="7" max="7"/>
    <col width="16" customWidth="1" min="8" max="8"/>
    <col width="50" customWidth="1" min="9" max="9"/>
  </cols>
  <sheetData>
    <row r="1">
      <c r="A1" s="1" t="inlineStr">
        <is>
          <t>Armada Innovations LLC — High-Level Monthly Roll</t>
        </is>
      </c>
    </row>
    <row r="2">
      <c r="A2" s="2" t="inlineStr">
        <is>
          <t>GP entity of Armada Capital Group LLP. Member split: Nairne 60% / Alec 39.5% / Chris 0.5%.</t>
        </is>
      </c>
    </row>
    <row r="4">
      <c r="A4" s="3" t="inlineStr">
        <is>
          <t>Month</t>
        </is>
      </c>
      <c r="B4" s="3" t="inlineStr">
        <is>
          <t>Distribution from ACG LLP</t>
        </is>
      </c>
      <c r="C4" s="3" t="inlineStr">
        <is>
          <t>LLC Operating Expenses</t>
        </is>
      </c>
      <c r="D4" s="3" t="inlineStr">
        <is>
          <t>Net Distributable</t>
        </is>
      </c>
      <c r="E4" s="3" t="inlineStr">
        <is>
          <t>Nairne (60%)</t>
        </is>
      </c>
      <c r="F4" s="3" t="inlineStr">
        <is>
          <t>Alec (39.5%)</t>
        </is>
      </c>
      <c r="G4" s="3" t="inlineStr">
        <is>
          <t>Chris (0.5%)</t>
        </is>
      </c>
      <c r="H4" s="3" t="inlineStr">
        <is>
          <t>Sum Check</t>
        </is>
      </c>
      <c r="I4" s="3" t="inlineStr">
        <is>
          <t>Notes</t>
        </is>
      </c>
    </row>
    <row r="5">
      <c r="A5" s="4" t="inlineStr">
        <is>
          <t>Mar 2026</t>
        </is>
      </c>
      <c r="B5" s="5" t="n">
        <v>3720</v>
      </c>
      <c r="C5" s="5" t="n">
        <v>0</v>
      </c>
      <c r="D5" s="5" t="n">
        <v>3720</v>
      </c>
      <c r="E5" s="5" t="n">
        <v>2232</v>
      </c>
      <c r="F5" s="5" t="n">
        <v>1469.4</v>
      </c>
      <c r="G5" s="5" t="n">
        <v>18.6</v>
      </c>
      <c r="H5" s="5">
        <f>E5+F5+G5</f>
        <v/>
      </c>
      <c r="I5" s="4" t="inlineStr">
        <is>
          <t>First GP distribution. Source: TB sheet 30020 line.</t>
        </is>
      </c>
    </row>
    <row r="6">
      <c r="A6" s="4" t="inlineStr">
        <is>
          <t>Apr 2026</t>
        </is>
      </c>
      <c r="B6" s="5" t="n">
        <v>119586.23</v>
      </c>
      <c r="C6" s="5" t="n">
        <v>0</v>
      </c>
      <c r="D6" s="5" t="n">
        <v>119586.23</v>
      </c>
      <c r="E6" s="5" t="n">
        <v>71751.74000000001</v>
      </c>
      <c r="F6" s="5" t="n">
        <v>47236.56</v>
      </c>
      <c r="G6" s="5" t="n">
        <v>597.9299999999999</v>
      </c>
      <c r="H6" s="5">
        <f>E6+F6+G6</f>
        <v/>
      </c>
      <c r="I6" s="4" t="inlineStr">
        <is>
          <t>PRELIMINARY — 5.70% gross on $8,528,472 LP base. Waterfall: 18% TQ + 57.4% LP + 24.6% GP</t>
        </is>
      </c>
    </row>
    <row r="7">
      <c r="A7" s="4" t="inlineStr">
        <is>
          <t>May 2026</t>
        </is>
      </c>
      <c r="B7" s="5" t="n">
        <v>0</v>
      </c>
      <c r="C7" s="5" t="n">
        <v>0</v>
      </c>
      <c r="D7" s="5">
        <f>B7-C7</f>
        <v/>
      </c>
      <c r="E7" s="5">
        <f>D7*0.6</f>
        <v/>
      </c>
      <c r="F7" s="5">
        <f>D7*0.395</f>
        <v/>
      </c>
      <c r="G7" s="5">
        <f>D7*0.005</f>
        <v/>
      </c>
      <c r="H7" s="5">
        <f>E7+F7+G7</f>
        <v/>
      </c>
      <c r="I7" s="4" t="inlineStr">
        <is>
          <t># TODO: enter from monthly TPA</t>
        </is>
      </c>
    </row>
    <row r="8">
      <c r="A8" s="4" t="inlineStr">
        <is>
          <t>Jun 2026</t>
        </is>
      </c>
      <c r="B8" s="5" t="n">
        <v>0</v>
      </c>
      <c r="C8" s="5" t="n">
        <v>0</v>
      </c>
      <c r="D8" s="5">
        <f>B8-C8</f>
        <v/>
      </c>
      <c r="E8" s="5">
        <f>D8*0.6</f>
        <v/>
      </c>
      <c r="F8" s="5">
        <f>D8*0.395</f>
        <v/>
      </c>
      <c r="G8" s="5">
        <f>D8*0.005</f>
        <v/>
      </c>
      <c r="H8" s="5">
        <f>E8+F8+G8</f>
        <v/>
      </c>
      <c r="I8" s="4" t="inlineStr">
        <is>
          <t># TODO: enter from monthly TPA</t>
        </is>
      </c>
    </row>
    <row r="9">
      <c r="A9" s="4" t="inlineStr">
        <is>
          <t>Jul 2026</t>
        </is>
      </c>
      <c r="B9" s="5" t="n">
        <v>0</v>
      </c>
      <c r="C9" s="5" t="n">
        <v>0</v>
      </c>
      <c r="D9" s="5">
        <f>B9-C9</f>
        <v/>
      </c>
      <c r="E9" s="5">
        <f>D9*0.6</f>
        <v/>
      </c>
      <c r="F9" s="5">
        <f>D9*0.395</f>
        <v/>
      </c>
      <c r="G9" s="5">
        <f>D9*0.005</f>
        <v/>
      </c>
      <c r="H9" s="5">
        <f>E9+F9+G9</f>
        <v/>
      </c>
      <c r="I9" s="4" t="inlineStr">
        <is>
          <t># TODO: enter from monthly TPA</t>
        </is>
      </c>
    </row>
    <row r="10">
      <c r="A10" s="4" t="inlineStr">
        <is>
          <t>Aug 2026</t>
        </is>
      </c>
      <c r="B10" s="5" t="n">
        <v>0</v>
      </c>
      <c r="C10" s="5" t="n">
        <v>0</v>
      </c>
      <c r="D10" s="5">
        <f>B10-C10</f>
        <v/>
      </c>
      <c r="E10" s="5">
        <f>D10*0.6</f>
        <v/>
      </c>
      <c r="F10" s="5">
        <f>D10*0.395</f>
        <v/>
      </c>
      <c r="G10" s="5">
        <f>D10*0.005</f>
        <v/>
      </c>
      <c r="H10" s="5">
        <f>E10+F10+G10</f>
        <v/>
      </c>
      <c r="I10" s="4" t="inlineStr">
        <is>
          <t># TODO: enter from monthly TPA</t>
        </is>
      </c>
    </row>
    <row r="11">
      <c r="A11" s="4" t="inlineStr">
        <is>
          <t>Sep 2026</t>
        </is>
      </c>
      <c r="B11" s="5" t="n">
        <v>0</v>
      </c>
      <c r="C11" s="5" t="n">
        <v>0</v>
      </c>
      <c r="D11" s="5">
        <f>B11-C11</f>
        <v/>
      </c>
      <c r="E11" s="5">
        <f>D11*0.6</f>
        <v/>
      </c>
      <c r="F11" s="5">
        <f>D11*0.395</f>
        <v/>
      </c>
      <c r="G11" s="5">
        <f>D11*0.005</f>
        <v/>
      </c>
      <c r="H11" s="5">
        <f>E11+F11+G11</f>
        <v/>
      </c>
      <c r="I11" s="4" t="inlineStr">
        <is>
          <t># TODO: enter from monthly TPA</t>
        </is>
      </c>
    </row>
    <row r="12">
      <c r="A12" s="4" t="inlineStr">
        <is>
          <t>Oct 2026</t>
        </is>
      </c>
      <c r="B12" s="5" t="n">
        <v>0</v>
      </c>
      <c r="C12" s="5" t="n">
        <v>0</v>
      </c>
      <c r="D12" s="5">
        <f>B12-C12</f>
        <v/>
      </c>
      <c r="E12" s="5">
        <f>D12*0.6</f>
        <v/>
      </c>
      <c r="F12" s="5">
        <f>D12*0.395</f>
        <v/>
      </c>
      <c r="G12" s="5">
        <f>D12*0.005</f>
        <v/>
      </c>
      <c r="H12" s="5">
        <f>E12+F12+G12</f>
        <v/>
      </c>
      <c r="I12" s="4" t="inlineStr">
        <is>
          <t># TODO: enter from monthly TPA</t>
        </is>
      </c>
    </row>
    <row r="13">
      <c r="A13" s="4" t="inlineStr">
        <is>
          <t>Nov 2026</t>
        </is>
      </c>
      <c r="B13" s="5" t="n">
        <v>0</v>
      </c>
      <c r="C13" s="5" t="n">
        <v>0</v>
      </c>
      <c r="D13" s="5">
        <f>B13-C13</f>
        <v/>
      </c>
      <c r="E13" s="5">
        <f>D13*0.6</f>
        <v/>
      </c>
      <c r="F13" s="5">
        <f>D13*0.395</f>
        <v/>
      </c>
      <c r="G13" s="5">
        <f>D13*0.005</f>
        <v/>
      </c>
      <c r="H13" s="5">
        <f>E13+F13+G13</f>
        <v/>
      </c>
      <c r="I13" s="4" t="inlineStr">
        <is>
          <t># TODO: enter from monthly TPA</t>
        </is>
      </c>
    </row>
    <row r="14">
      <c r="A14" s="4" t="inlineStr">
        <is>
          <t>Dec 2026</t>
        </is>
      </c>
      <c r="B14" s="5" t="n">
        <v>0</v>
      </c>
      <c r="C14" s="5" t="n">
        <v>0</v>
      </c>
      <c r="D14" s="5">
        <f>B14-C14</f>
        <v/>
      </c>
      <c r="E14" s="5">
        <f>D14*0.6</f>
        <v/>
      </c>
      <c r="F14" s="5">
        <f>D14*0.395</f>
        <v/>
      </c>
      <c r="G14" s="5">
        <f>D14*0.005</f>
        <v/>
      </c>
      <c r="H14" s="5">
        <f>E14+F14+G14</f>
        <v/>
      </c>
      <c r="I14" s="4" t="inlineStr">
        <is>
          <t># TODO: enter from monthly TPA</t>
        </is>
      </c>
    </row>
    <row r="15">
      <c r="A15" s="6" t="inlineStr">
        <is>
          <t>YTD 2026</t>
        </is>
      </c>
      <c r="B15" s="7">
        <f>SUM(B5:B14)</f>
        <v/>
      </c>
      <c r="C15" s="7">
        <f>SUM(C5:C14)</f>
        <v/>
      </c>
      <c r="D15" s="7">
        <f>SUM(D5:D14)</f>
        <v/>
      </c>
      <c r="E15" s="7">
        <f>SUM(E5:E14)</f>
        <v/>
      </c>
      <c r="F15" s="7">
        <f>SUM(F5:F14)</f>
        <v/>
      </c>
      <c r="G15" s="7">
        <f>SUM(G5:G14)</f>
        <v/>
      </c>
      <c r="H15" s="7">
        <f>E15+F15+G15</f>
        <v/>
      </c>
      <c r="I15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20" customWidth="1" min="4" max="4"/>
    <col width="26" customWidth="1" min="5" max="5"/>
    <col width="30" customWidth="1" min="6" max="6"/>
    <col width="8" customWidth="1" min="7" max="7"/>
  </cols>
  <sheetData>
    <row r="1">
      <c r="A1" s="1" t="inlineStr">
        <is>
          <t>Per-Member Distribution Detail</t>
        </is>
      </c>
    </row>
    <row r="3">
      <c r="A3" s="3" t="inlineStr">
        <is>
          <t>Month</t>
        </is>
      </c>
      <c r="B3" s="3" t="inlineStr">
        <is>
          <t>Member</t>
        </is>
      </c>
      <c r="C3" s="3" t="inlineStr">
        <is>
          <t>Share %</t>
        </is>
      </c>
      <c r="D3" s="3" t="inlineStr">
        <is>
          <t>MTD $</t>
        </is>
      </c>
      <c r="E3" s="3" t="inlineStr">
        <is>
          <t>YTD Cumulative $</t>
        </is>
      </c>
      <c r="F3" s="3" t="inlineStr">
        <is>
          <t>ITD Cumulative $</t>
        </is>
      </c>
      <c r="G3" s="3" t="inlineStr">
        <is>
          <t>Source</t>
        </is>
      </c>
    </row>
    <row r="4">
      <c r="A4" s="4" t="inlineStr">
        <is>
          <t>Mar 2026</t>
        </is>
      </c>
      <c r="B4" s="4" t="inlineStr">
        <is>
          <t>Nairne</t>
        </is>
      </c>
      <c r="C4" s="8" t="n">
        <v>0.6</v>
      </c>
      <c r="D4" s="5" t="n">
        <v>2232</v>
      </c>
      <c r="E4" s="5" t="n">
        <v>2232</v>
      </c>
      <c r="F4" s="5" t="n">
        <v>2232</v>
      </c>
      <c r="G4" s="4" t="inlineStr">
        <is>
          <t>Mar 2026 Return GP — TPA TB 30020</t>
        </is>
      </c>
    </row>
    <row r="5">
      <c r="A5" s="4" t="inlineStr">
        <is>
          <t>Mar 2026</t>
        </is>
      </c>
      <c r="B5" s="4" t="inlineStr">
        <is>
          <t>Alec</t>
        </is>
      </c>
      <c r="C5" s="8" t="n">
        <v>0.395</v>
      </c>
      <c r="D5" s="5" t="n">
        <v>1469.4</v>
      </c>
      <c r="E5" s="5" t="n">
        <v>1469.4</v>
      </c>
      <c r="F5" s="5" t="n">
        <v>1469.4</v>
      </c>
      <c r="G5" s="4" t="inlineStr">
        <is>
          <t>Mar 2026 Return GP — TPA TB 30020</t>
        </is>
      </c>
    </row>
    <row r="6">
      <c r="A6" s="4" t="inlineStr">
        <is>
          <t>Mar 2026</t>
        </is>
      </c>
      <c r="B6" s="4" t="inlineStr">
        <is>
          <t>Chris</t>
        </is>
      </c>
      <c r="C6" s="8" t="n">
        <v>0.005</v>
      </c>
      <c r="D6" s="5" t="n">
        <v>18.6</v>
      </c>
      <c r="E6" s="5" t="n">
        <v>18.6</v>
      </c>
      <c r="F6" s="5" t="n">
        <v>18.6</v>
      </c>
      <c r="G6" s="4" t="inlineStr">
        <is>
          <t>Mar 2026 Return GP — TPA TB 30020</t>
        </is>
      </c>
    </row>
    <row r="7">
      <c r="A7" s="6" t="inlineStr">
        <is>
          <t>Mar 2026 TOTAL</t>
        </is>
      </c>
      <c r="B7" s="6" t="inlineStr"/>
      <c r="C7" s="9">
        <f>SUM(C4:C6)</f>
        <v/>
      </c>
      <c r="D7" s="7">
        <f>SUM(D4:D6)</f>
        <v/>
      </c>
      <c r="E7" s="7">
        <f>SUM(E4:E6)</f>
        <v/>
      </c>
      <c r="F7" s="7">
        <f>SUM(F4:F6)</f>
        <v/>
      </c>
      <c r="G7" s="6" t="inlineStr">
        <is>
          <t>must = 100% / $3,720</t>
        </is>
      </c>
    </row>
    <row r="8">
      <c r="A8" t="inlineStr">
        <is>
          <t>Apr 2026</t>
        </is>
      </c>
      <c r="B8" t="inlineStr">
        <is>
          <t>Nairne</t>
        </is>
      </c>
      <c r="C8" s="14" t="n">
        <v>0.6</v>
      </c>
      <c r="D8" s="15" t="n">
        <v>71751.74000000001</v>
      </c>
      <c r="E8" s="15" t="n">
        <v>73983.74000000001</v>
      </c>
      <c r="F8" s="15" t="n">
        <v>73983.74000000001</v>
      </c>
      <c r="G8" t="inlineStr">
        <is>
          <t>Apr 2026 — preliminary, 5.7% gross</t>
        </is>
      </c>
    </row>
    <row r="9">
      <c r="A9" t="inlineStr">
        <is>
          <t>Apr 2026</t>
        </is>
      </c>
      <c r="B9" t="inlineStr">
        <is>
          <t>Alec</t>
        </is>
      </c>
      <c r="C9" s="14" t="n">
        <v>0.395</v>
      </c>
      <c r="D9" s="15" t="n">
        <v>47236.56</v>
      </c>
      <c r="E9" s="15" t="n">
        <v>48705.96</v>
      </c>
      <c r="F9" s="15" t="n">
        <v>48705.96</v>
      </c>
      <c r="G9" t="inlineStr">
        <is>
          <t>Apr 2026 — preliminary, 5.7% gross</t>
        </is>
      </c>
    </row>
    <row r="10">
      <c r="A10" t="inlineStr">
        <is>
          <t>Apr 2026</t>
        </is>
      </c>
      <c r="B10" t="inlineStr">
        <is>
          <t>Chris</t>
        </is>
      </c>
      <c r="C10" s="14" t="n">
        <v>0.005</v>
      </c>
      <c r="D10" s="15" t="n">
        <v>597.9299999999999</v>
      </c>
      <c r="E10" s="15" t="n">
        <v>616.53</v>
      </c>
      <c r="F10" s="15" t="n">
        <v>616.53</v>
      </c>
      <c r="G10" t="inlineStr">
        <is>
          <t>Apr 2026 — preliminary, 5.7% gross</t>
        </is>
      </c>
    </row>
    <row r="11">
      <c r="A11" s="16" t="inlineStr">
        <is>
          <t>Apr 2026 TOTAL</t>
        </is>
      </c>
      <c r="B11" s="16" t="n"/>
      <c r="C11" s="17">
        <f>SUM(C8:C10)</f>
        <v/>
      </c>
      <c r="D11" s="18">
        <f>SUM(D8:D10)</f>
        <v/>
      </c>
      <c r="E11" s="18">
        <f>SUM(E8:E10)</f>
        <v/>
      </c>
      <c r="F11" s="18">
        <f>SUM(F8:F10)</f>
        <v/>
      </c>
      <c r="G11" s="16" t="inlineStr">
        <is>
          <t>must = 100% / $119,586.23</t>
        </is>
      </c>
    </row>
    <row r="12"/>
    <row r="13">
      <c r="A13" s="10" t="inlineStr">
        <is>
          <t>Member Reference</t>
        </is>
      </c>
    </row>
    <row r="14">
      <c r="A14" s="3" t="inlineStr">
        <is>
          <t>Member</t>
        </is>
      </c>
      <c r="B14" s="3" t="inlineStr">
        <is>
          <t>Email</t>
        </is>
      </c>
      <c r="C14" s="3" t="inlineStr">
        <is>
          <t>Share</t>
        </is>
      </c>
      <c r="D14" s="3" t="inlineStr">
        <is>
          <t>Role</t>
        </is>
      </c>
      <c r="E14" s="3" t="inlineStr">
        <is>
          <t>K-1 Entity</t>
        </is>
      </c>
      <c r="F14" s="3" t="inlineStr">
        <is>
          <t>Notes</t>
        </is>
      </c>
      <c r="G14" s="3" t="inlineStr"/>
    </row>
    <row r="15">
      <c r="A15" s="4" t="inlineStr">
        <is>
          <t>Nairne Farner</t>
        </is>
      </c>
      <c r="B15" s="4" t="inlineStr">
        <is>
          <t>admin@armadatg.com</t>
        </is>
      </c>
      <c r="C15" s="8" t="n">
        <v>0.6</v>
      </c>
      <c r="D15" s="4" t="inlineStr">
        <is>
          <t>Managing Member</t>
        </is>
      </c>
      <c r="E15" s="4" t="inlineStr">
        <is>
          <t>Armada Innovations LLC</t>
        </is>
      </c>
      <c r="F15" s="4" t="inlineStr"/>
      <c r="G15" s="4" t="inlineStr"/>
    </row>
    <row r="16">
      <c r="A16" s="4" t="inlineStr">
        <is>
          <t>Alec Atkinson</t>
        </is>
      </c>
      <c r="B16" s="4" t="inlineStr"/>
      <c r="C16" s="8" t="n">
        <v>0.395</v>
      </c>
      <c r="D16" s="4" t="inlineStr">
        <is>
          <t>Capital Relations</t>
        </is>
      </c>
      <c r="E16" s="4" t="inlineStr">
        <is>
          <t>Armada Innovations LLC</t>
        </is>
      </c>
      <c r="F16" s="4" t="inlineStr"/>
      <c r="G16" s="4" t="inlineStr"/>
    </row>
    <row r="17">
      <c r="A17" s="4" t="inlineStr">
        <is>
          <t>Chris (TBD last name)</t>
        </is>
      </c>
      <c r="B17" s="4" t="inlineStr"/>
      <c r="C17" s="8" t="n">
        <v>0.005</v>
      </c>
      <c r="D17" s="4" t="inlineStr">
        <is>
          <t>Member</t>
        </is>
      </c>
      <c r="E17" s="4" t="inlineStr">
        <is>
          <t>Armada Innovations LLC</t>
        </is>
      </c>
      <c r="F17" s="4" t="inlineStr">
        <is>
          <t># TODO: confirm last name</t>
        </is>
      </c>
      <c r="G17" s="4" t="inlineStr"/>
    </row>
    <row r="18">
      <c r="A18" s="6" t="inlineStr">
        <is>
          <t>Total Share</t>
        </is>
      </c>
      <c r="B18" s="6" t="inlineStr"/>
      <c r="C18" s="9">
        <f>SUM(C11:C13)</f>
        <v/>
      </c>
      <c r="D18" s="6" t="inlineStr"/>
      <c r="E18" s="6" t="inlineStr"/>
      <c r="F18" s="6" t="inlineStr">
        <is>
          <t>must = 100%</t>
        </is>
      </c>
      <c r="G18" s="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50" customWidth="1" min="5" max="5"/>
    <col width="18" customWidth="1" min="6" max="6"/>
  </cols>
  <sheetData>
    <row r="1">
      <c r="A1" s="1" t="inlineStr">
        <is>
          <t>Armada Innovations LLC — Partner Capital Account Roll (matches PCAS PDF)</t>
        </is>
      </c>
    </row>
    <row r="3">
      <c r="A3" s="3" t="inlineStr">
        <is>
          <t>Line</t>
        </is>
      </c>
      <c r="B3" s="3" t="inlineStr">
        <is>
          <t>MTD Mar 2026</t>
        </is>
      </c>
      <c r="C3" s="3" t="inlineStr">
        <is>
          <t>YTD 2026</t>
        </is>
      </c>
      <c r="D3" s="3" t="inlineStr">
        <is>
          <t>ITD</t>
        </is>
      </c>
      <c r="E3" s="3" t="inlineStr">
        <is>
          <t>Notes</t>
        </is>
      </c>
      <c r="F3" s="19" t="inlineStr">
        <is>
          <t>MTD Apr 2026</t>
        </is>
      </c>
    </row>
    <row r="4">
      <c r="A4" s="4" t="inlineStr">
        <is>
          <t>Beginning Capital Account Balance</t>
        </is>
      </c>
      <c r="B4" s="5" t="n">
        <v>0</v>
      </c>
      <c r="C4" s="5" t="n">
        <v>0</v>
      </c>
      <c r="D4" s="5" t="n">
        <v>0</v>
      </c>
      <c r="E4" s="4" t="inlineStr"/>
      <c r="F4" s="15" t="n">
        <v>0</v>
      </c>
    </row>
    <row r="5">
      <c r="A5" s="4" t="inlineStr">
        <is>
          <t>Capital Contributions</t>
        </is>
      </c>
      <c r="B5" s="5" t="n">
        <v>0</v>
      </c>
      <c r="C5" s="5" t="n">
        <v>0</v>
      </c>
      <c r="D5" s="5" t="n">
        <v>0</v>
      </c>
      <c r="E5" s="4" t="inlineStr"/>
      <c r="F5" s="15" t="n">
        <v>0</v>
      </c>
    </row>
    <row r="6">
      <c r="A6" s="4" t="inlineStr">
        <is>
          <t>Capital Distributions</t>
        </is>
      </c>
      <c r="B6" s="5" t="n">
        <v>-3720</v>
      </c>
      <c r="C6" s="5" t="n">
        <v>-123306.23</v>
      </c>
      <c r="D6" s="5" t="n">
        <v>-123306.23</v>
      </c>
      <c r="E6" s="4" t="inlineStr">
        <is>
          <t>Mar 2026 Return GP</t>
        </is>
      </c>
      <c r="F6" s="15" t="n">
        <v>-119586.23</v>
      </c>
    </row>
    <row r="7">
      <c r="A7" s="11" t="inlineStr">
        <is>
          <t>Adjusted Capital Account Balance</t>
        </is>
      </c>
      <c r="B7" s="12" t="n">
        <v>-3720</v>
      </c>
      <c r="C7" s="12" t="n">
        <v>-123306.23</v>
      </c>
      <c r="D7" s="12" t="n">
        <v>-123306.23</v>
      </c>
      <c r="E7" s="11">
        <f> Beginning + Contributions - Distributions</f>
        <v/>
      </c>
      <c r="F7" s="15" t="n">
        <v>-119586.23</v>
      </c>
    </row>
    <row r="8">
      <c r="A8" s="4" t="inlineStr">
        <is>
          <t>Gross Profit / Loss</t>
        </is>
      </c>
      <c r="B8" s="5" t="n">
        <v>3720</v>
      </c>
      <c r="C8" s="5" t="n">
        <v>123306.23</v>
      </c>
      <c r="D8" s="5" t="n">
        <v>123306.23</v>
      </c>
      <c r="E8" s="4" t="inlineStr">
        <is>
          <t>Realized gain long term — offset to 40080</t>
        </is>
      </c>
      <c r="F8" s="15" t="n">
        <v>119586.23</v>
      </c>
    </row>
    <row r="9">
      <c r="A9" s="4" t="inlineStr">
        <is>
          <t>Accrued Performance Allocation (proforma)</t>
        </is>
      </c>
      <c r="B9" s="5" t="n">
        <v>0</v>
      </c>
      <c r="C9" s="5" t="n">
        <v>0</v>
      </c>
      <c r="D9" s="5" t="n">
        <v>0</v>
      </c>
      <c r="E9" s="4" t="inlineStr">
        <is>
          <t>$0 — no performance accrual on GP entity</t>
        </is>
      </c>
      <c r="F9" s="15" t="n">
        <v>0</v>
      </c>
    </row>
    <row r="10">
      <c r="A10" s="11" t="inlineStr">
        <is>
          <t>Net Profit / Loss</t>
        </is>
      </c>
      <c r="B10" s="12" t="n">
        <v>3720</v>
      </c>
      <c r="C10" s="12" t="n">
        <v>123306.23</v>
      </c>
      <c r="D10" s="12" t="n">
        <v>123306.23</v>
      </c>
      <c r="E10" s="11" t="inlineStr"/>
      <c r="F10" s="15" t="n">
        <v>119586.23</v>
      </c>
    </row>
    <row r="11">
      <c r="A11" s="11" t="inlineStr">
        <is>
          <t>Net Ending Capital Account Balance</t>
        </is>
      </c>
      <c r="B11" s="12" t="n">
        <v>0</v>
      </c>
      <c r="C11" s="12" t="n">
        <v>0</v>
      </c>
      <c r="D11" s="12" t="n">
        <v>0</v>
      </c>
      <c r="E11" s="11" t="inlineStr">
        <is>
          <t>Adjusted + Net P/L</t>
        </is>
      </c>
      <c r="F11" s="15" t="n">
        <v>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56" customWidth="1" min="5" max="5"/>
    <col width="18" customWidth="1" min="6" max="6"/>
  </cols>
  <sheetData>
    <row r="1">
      <c r="A1" s="1" t="inlineStr">
        <is>
          <t>Armada Capital Group LLP — Source Snapshot (per month)</t>
        </is>
      </c>
    </row>
    <row r="3">
      <c r="A3" s="3" t="inlineStr">
        <is>
          <t>Line</t>
        </is>
      </c>
      <c r="B3" s="3" t="inlineStr">
        <is>
          <t>Mar 2026</t>
        </is>
      </c>
      <c r="C3" s="3" t="inlineStr">
        <is>
          <t>YTD</t>
        </is>
      </c>
      <c r="D3" s="3" t="inlineStr">
        <is>
          <t>ITD</t>
        </is>
      </c>
      <c r="E3" s="3" t="inlineStr">
        <is>
          <t>Notes</t>
        </is>
      </c>
      <c r="F3" s="19" t="inlineStr">
        <is>
          <t>Apr 2026</t>
        </is>
      </c>
    </row>
    <row r="4">
      <c r="A4" s="11" t="inlineStr">
        <is>
          <t>Total Assets</t>
        </is>
      </c>
      <c r="B4" s="12" t="n">
        <v>528499.1</v>
      </c>
      <c r="C4" s="12" t="n">
        <v>9014594.9</v>
      </c>
      <c r="D4" s="12" t="n">
        <v>9014594.9</v>
      </c>
      <c r="E4" s="11" t="inlineStr">
        <is>
          <t>TB Balance Sheet line</t>
        </is>
      </c>
      <c r="F4" s="15" t="n">
        <v>9014594.9</v>
      </c>
    </row>
    <row r="5">
      <c r="A5" s="4" t="inlineStr">
        <is>
          <t>Cash</t>
        </is>
      </c>
      <c r="B5" s="5" t="n">
        <v>-135.9</v>
      </c>
      <c r="C5" s="5" t="n">
        <v>-135.9</v>
      </c>
      <c r="D5" s="5" t="n">
        <v>-135.9</v>
      </c>
      <c r="E5" s="4" t="inlineStr">
        <is>
          <t>Zions Bank checking</t>
        </is>
      </c>
      <c r="F5" s="15" t="n">
        <v>-135.9</v>
      </c>
    </row>
    <row r="6">
      <c r="A6" s="4" t="inlineStr">
        <is>
          <t>Commitments Receivable</t>
        </is>
      </c>
      <c r="B6" s="5" t="n">
        <v>-8000000</v>
      </c>
      <c r="C6" s="5" t="n">
        <v>0</v>
      </c>
      <c r="D6" s="5" t="n">
        <v>0</v>
      </c>
      <c r="E6" s="4" t="inlineStr">
        <is>
          <t>JJNA $8M received in advance for April close</t>
        </is>
      </c>
      <c r="F6" s="15" t="n">
        <v>0</v>
      </c>
    </row>
    <row r="7">
      <c r="A7" s="4" t="inlineStr">
        <is>
          <t>Investments at Cost</t>
        </is>
      </c>
      <c r="B7" s="5" t="n">
        <v>8528608</v>
      </c>
      <c r="C7" s="5" t="n">
        <v>9014730.800000001</v>
      </c>
      <c r="D7" s="5" t="n">
        <v>9014730.800000001</v>
      </c>
      <c r="E7" s="4" t="inlineStr">
        <is>
          <t>Innovations $508,650 + Undeployed $8,019,958</t>
        </is>
      </c>
      <c r="F7" s="15" t="n">
        <v>9014730.800000001</v>
      </c>
    </row>
    <row r="8">
      <c r="A8" s="4" t="inlineStr">
        <is>
          <t>Investments at FMV</t>
        </is>
      </c>
      <c r="B8" s="5" t="n">
        <v>8528608</v>
      </c>
      <c r="C8" s="5" t="n">
        <v>9014730.800000001</v>
      </c>
      <c r="D8" s="5" t="n">
        <v>9014730.800000001</v>
      </c>
      <c r="E8" s="4" t="inlineStr">
        <is>
          <t>No markup — equal to cost</t>
        </is>
      </c>
      <c r="F8" s="15" t="n">
        <v>9014730.800000001</v>
      </c>
    </row>
    <row r="9">
      <c r="A9" s="4" t="inlineStr">
        <is>
          <t>Total Liabilities</t>
        </is>
      </c>
      <c r="B9" s="5" t="n">
        <v>0</v>
      </c>
      <c r="C9" s="5" t="n">
        <v>87502.12</v>
      </c>
      <c r="D9" s="5" t="n">
        <v>87502.12</v>
      </c>
      <c r="E9" s="4" t="inlineStr"/>
      <c r="F9" s="15" t="n">
        <v>87502.12</v>
      </c>
    </row>
    <row r="10">
      <c r="A10" s="11" t="inlineStr">
        <is>
          <t>Total Equity</t>
        </is>
      </c>
      <c r="B10" s="12" t="n">
        <v>528499.1</v>
      </c>
      <c r="C10" s="12" t="n">
        <v>-8927092.779999999</v>
      </c>
      <c r="D10" s="12" t="n">
        <v>-8927092.779999999</v>
      </c>
      <c r="E10" s="11" t="inlineStr"/>
      <c r="F10" s="15" t="n">
        <v>-8927092.779999999</v>
      </c>
    </row>
    <row r="11">
      <c r="A11" s="4" t="inlineStr">
        <is>
          <t>Realized Gain (long term)</t>
        </is>
      </c>
      <c r="B11" s="5" t="n">
        <v>3720</v>
      </c>
      <c r="C11" s="5" t="n">
        <v>123306.23</v>
      </c>
      <c r="D11" s="5" t="n">
        <v>123306.23</v>
      </c>
      <c r="E11" s="4" t="inlineStr">
        <is>
          <t>GP distribution to Innovations</t>
        </is>
      </c>
      <c r="F11" s="15" t="n">
        <v>119586.23</v>
      </c>
    </row>
    <row r="12">
      <c r="A12" s="4" t="inlineStr">
        <is>
          <t>Unrealized Gain</t>
        </is>
      </c>
      <c r="B12" s="5" t="n">
        <v>28680</v>
      </c>
      <c r="C12" s="5" t="n">
        <v>307714.55</v>
      </c>
      <c r="D12" s="5" t="n">
        <v>307714.55</v>
      </c>
      <c r="E12" s="4" t="inlineStr">
        <is>
          <t>$8,680 Bliss + $20,000 Undeployed</t>
        </is>
      </c>
      <c r="F12" s="15" t="n">
        <v>279034.55</v>
      </c>
    </row>
    <row r="13">
      <c r="A13" s="4" t="inlineStr">
        <is>
          <t>Bank Fees Expense</t>
        </is>
      </c>
      <c r="B13" s="5" t="n">
        <v>180.9</v>
      </c>
      <c r="C13" s="5" t="n">
        <v>207.9</v>
      </c>
      <c r="D13" s="5" t="n">
        <v>207.9</v>
      </c>
      <c r="E13" s="4" t="inlineStr"/>
      <c r="F13" s="15" t="n">
        <v>0</v>
      </c>
    </row>
    <row r="14">
      <c r="A14" s="11" t="inlineStr">
        <is>
          <t>Net Income (loss)</t>
        </is>
      </c>
      <c r="B14" s="12" t="n">
        <v>-32219.1</v>
      </c>
      <c r="C14" s="12" t="n">
        <v>-430812.88</v>
      </c>
      <c r="D14" s="12" t="n">
        <v>-430812.88</v>
      </c>
      <c r="E14" s="11" t="inlineStr">
        <is>
          <t>Sign convention: TB Cr = negative</t>
        </is>
      </c>
      <c r="F14" s="15" t="n">
        <v>-398620.78</v>
      </c>
    </row>
    <row r="15">
      <c r="A15" s="4" t="inlineStr">
        <is>
          <t>LP Commitments Funded</t>
        </is>
      </c>
      <c r="B15" s="5" t="n">
        <v>500000</v>
      </c>
      <c r="C15" s="5" t="n">
        <v>8500000</v>
      </c>
      <c r="D15" s="5" t="n">
        <v>8500000</v>
      </c>
      <c r="E15" s="4" t="inlineStr">
        <is>
          <t>Bliss only — JJNA closes April</t>
        </is>
      </c>
      <c r="F15" s="15" t="n">
        <v>8500000</v>
      </c>
    </row>
    <row r="16">
      <c r="A16" s="4" t="inlineStr">
        <is>
          <t>LP Commitments Total</t>
        </is>
      </c>
      <c r="B16" s="5" t="n">
        <v>8500000</v>
      </c>
      <c r="C16" s="5" t="n">
        <v>8500000</v>
      </c>
      <c r="D16" s="5" t="n">
        <v>8500000</v>
      </c>
      <c r="E16" s="4" t="inlineStr">
        <is>
          <t>Bliss $500K + JJNA $8M</t>
        </is>
      </c>
      <c r="F16" s="15" t="n">
        <v>8500000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60" customWidth="1" min="3" max="3"/>
    <col width="56" customWidth="1" min="4" max="4"/>
  </cols>
  <sheetData>
    <row r="1">
      <c r="A1" s="1" t="inlineStr">
        <is>
          <t>Audit Trail — every row above ties to the TPA package</t>
        </is>
      </c>
    </row>
    <row r="3">
      <c r="A3" s="3" t="inlineStr">
        <is>
          <t>Month</t>
        </is>
      </c>
      <c r="B3" s="3" t="inlineStr">
        <is>
          <t>Item</t>
        </is>
      </c>
      <c r="C3" s="3" t="inlineStr">
        <is>
          <t>TPA Source</t>
        </is>
      </c>
      <c r="D3" s="3" t="inlineStr">
        <is>
          <t>Tie-Out</t>
        </is>
      </c>
    </row>
    <row r="4">
      <c r="A4" s="4" t="inlineStr">
        <is>
          <t>Mar 2026</t>
        </is>
      </c>
      <c r="B4" s="13" t="inlineStr">
        <is>
          <t>GP distribution $3,720</t>
        </is>
      </c>
      <c r="C4" s="13" t="inlineStr">
        <is>
          <t>TB sheet 30020 line 'Dist: Income/dividends', JE 'March 2026 Return GP' dated 2026-03-31</t>
        </is>
      </c>
      <c r="D4" s="13" t="inlineStr">
        <is>
          <t>PCAS PDF: Net P/L $3,720, Distribution ($3,720), Ending $0</t>
        </is>
      </c>
    </row>
    <row r="5">
      <c r="A5" s="4" t="inlineStr">
        <is>
          <t>Mar 2026</t>
        </is>
      </c>
      <c r="B5" s="13" t="inlineStr">
        <is>
          <t>Realized gain offset $3,720</t>
        </is>
      </c>
      <c r="C5" s="13" t="inlineStr">
        <is>
          <t>TB sheet 40080 'Gain: realized, long term', non-dominant allocation</t>
        </is>
      </c>
      <c r="D5" s="13" t="inlineStr">
        <is>
          <t>TB Income Statement total revenue ($32,400) ties to YTD on 'Trial Balance' tab</t>
        </is>
      </c>
    </row>
    <row r="6">
      <c r="A6" s="4" t="inlineStr">
        <is>
          <t>Mar 2026</t>
        </is>
      </c>
      <c r="B6" s="13" t="inlineStr">
        <is>
          <t>Unrealized gain $28,680</t>
        </is>
      </c>
      <c r="C6" s="13" t="inlineStr">
        <is>
          <t>TB sheet 40090 'Gain/loss: unrealized'; $8,680 Innovations tranche + $20,000 Undeployed</t>
        </is>
      </c>
      <c r="D6" s="13" t="inlineStr">
        <is>
          <t>Reinvested into 10030 - Investments per JE 'March 2026 Return LP'</t>
        </is>
      </c>
    </row>
    <row r="7">
      <c r="A7" s="4" t="inlineStr">
        <is>
          <t>Mar 2026</t>
        </is>
      </c>
      <c r="B7" s="13" t="inlineStr">
        <is>
          <t>Investments at cost $8,528,608</t>
        </is>
      </c>
      <c r="C7" s="13" t="inlineStr">
        <is>
          <t>SOI tab: Innovations $508,650 + Undeployed $8,019,958</t>
        </is>
      </c>
      <c r="D7" s="13" t="inlineStr">
        <is>
          <t>TB 10030 ties; ITD Detail SOI confirms Feb $499,970 + Mar $7,999,958 + Mar reinvest $28,680</t>
        </is>
      </c>
    </row>
    <row r="8">
      <c r="A8" s="4" t="inlineStr">
        <is>
          <t>Mar 2026</t>
        </is>
      </c>
      <c r="B8" s="13" t="inlineStr">
        <is>
          <t>JJNA $8M received in advance</t>
        </is>
      </c>
      <c r="C8" s="13" t="inlineStr">
        <is>
          <t>TB sheet 10010 receipt 2026-03-05; offset to 10025 commitments receivable</t>
        </is>
      </c>
      <c r="D8" s="13" t="inlineStr">
        <is>
          <t>PCAP-MTD: April 2026 tranche, commitment $8M, $0 ending capital</t>
        </is>
      </c>
    </row>
    <row r="9">
      <c r="A9" s="4" t="inlineStr">
        <is>
          <t>Mar 2026</t>
        </is>
      </c>
      <c r="B9" s="13" t="inlineStr">
        <is>
          <t>Bliss $500K funded</t>
        </is>
      </c>
      <c r="C9" s="13" t="inlineStr">
        <is>
          <t>Feb 26 advance $500K then Mar 1 call applied; PCAP-MTD shows ending $508,472.10</t>
        </is>
      </c>
      <c r="D9" s="13" t="inlineStr">
        <is>
          <t>TB Balance Sheet total equity $528,499.10 ties out</t>
        </is>
      </c>
    </row>
    <row r="10">
      <c r="A10" s="4" t="inlineStr">
        <is>
          <t>Mar 2026</t>
        </is>
      </c>
      <c r="B10" s="13" t="inlineStr">
        <is>
          <t>Bank fees $180.90 MTD / $207.90 YTD</t>
        </is>
      </c>
      <c r="C10" s="13" t="inlineStr">
        <is>
          <t>TB 50050 Professional fees: non-investment, three Mar entries + one Feb entry</t>
        </is>
      </c>
      <c r="D10" s="13" t="inlineStr">
        <is>
          <t>Income Statement total expense $180.90 MTD on TB tab</t>
        </is>
      </c>
    </row>
    <row r="11">
      <c r="A11" s="20" t="inlineStr">
        <is>
          <t>Apr 2026</t>
        </is>
      </c>
      <c r="B11" s="20" t="inlineStr">
        <is>
          <t>Gross profit $486,122.90 (5.70%)</t>
        </is>
      </c>
      <c r="C11" s="20" t="inlineStr">
        <is>
          <t>PRELIMINARY — computed from 5.70% × $8,528,472 LP base</t>
        </is>
      </c>
      <c r="D11" s="20" t="inlineStr">
        <is>
          <t>Awaits TPA package; verify against fund TB once received</t>
        </is>
      </c>
    </row>
    <row r="12">
      <c r="A12" s="20" t="inlineStr">
        <is>
          <t>Apr 2026</t>
        </is>
      </c>
      <c r="B12" s="20" t="inlineStr">
        <is>
          <t>JJNA $8M April capital call</t>
        </is>
      </c>
      <c r="C12" s="20" t="inlineStr">
        <is>
          <t>TBD on actual TPA — assumed Apr 1 close, full month in fund</t>
        </is>
      </c>
      <c r="D12" s="20" t="inlineStr">
        <is>
          <t>JJNA April-tranche begins formal contribution period</t>
        </is>
      </c>
    </row>
    <row r="13">
      <c r="A13" s="20" t="inlineStr">
        <is>
          <t>Apr 2026</t>
        </is>
      </c>
      <c r="B13" s="20" t="inlineStr">
        <is>
          <t>TruQuant performance fee $87,502.12</t>
        </is>
      </c>
      <c r="C13" s="20" t="inlineStr">
        <is>
          <t>Waterfall 18% × gross profit</t>
        </is>
      </c>
      <c r="D13" s="20" t="inlineStr">
        <is>
          <t>Booked as accrued performance fee payable, to be paid out per agreement</t>
        </is>
      </c>
    </row>
    <row r="14">
      <c r="A14" s="20" t="inlineStr">
        <is>
          <t>Apr 2026</t>
        </is>
      </c>
      <c r="B14" s="20" t="inlineStr">
        <is>
          <t>LP allocation $279,034.55</t>
        </is>
      </c>
      <c r="C14" s="20" t="inlineStr">
        <is>
          <t>Waterfall 70% of ACG slice (= 57.4% of gross), pro-rata Bliss 96.22% / JJNA 3.78%</t>
        </is>
      </c>
      <c r="D14" s="20" t="inlineStr">
        <is>
          <t>Bliss $16,636.19 / JJNA $262,398.36</t>
        </is>
      </c>
    </row>
    <row r="15">
      <c r="A15" s="20" t="inlineStr">
        <is>
          <t>Apr 2026</t>
        </is>
      </c>
      <c r="B15" s="20" t="inlineStr">
        <is>
          <t>GP distribution $119,586.23</t>
        </is>
      </c>
      <c r="C15" s="20" t="inlineStr">
        <is>
          <t>Waterfall 30% of ACG slice (= 24.6% of gross)</t>
        </is>
      </c>
      <c r="D15" s="20" t="inlineStr">
        <is>
          <t>To Innovations: Nairne $71,751.74 / Alec $47,236.56 / Chris $597.93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2026-05-01T06:06:35Z</dcterms:created>
  <dcterms:modified xmlns:dcterms="http://purl.org/dc/terms/" xmlns:xsi="http://www.w3.org/2001/XMLSchema-instance" xsi:type="dcterms:W3CDTF">2026-05-01T20:25:48Z</dcterms:modified>
</cp:coreProperties>
</file>