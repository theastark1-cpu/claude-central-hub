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DS Mapping" sheetId="2" state="visible" r:id="rId2"/>
    <sheet xmlns:r="http://schemas.openxmlformats.org/officeDocument/2006/relationships" name="Per-Investor Allocation" sheetId="3" state="visible" r:id="rId3"/>
    <sheet xmlns:r="http://schemas.openxmlformats.org/officeDocument/2006/relationships" name="Consultant Summary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Reconciliation" sheetId="6" state="visible" r:id="rId6"/>
  </sheets>
  <definedNames>
    <definedName name="GP_FundMgmt_Pct">Inputs!$B$5</definedName>
    <definedName name="GP_Consultant_Pct">Inputs!$B$6</definedName>
    <definedName name="GP_Raj_Pct">Inputs!$B$7</definedName>
    <definedName name="GP_Nairne_Pct">Inputs!$B$8</definedName>
    <definedName name="GP_Alec_Pct">Inputs!$B$9</definedName>
    <definedName name="Expense_Pool">Inputs!$B$14</definedName>
    <definedName name="TQ_Income">Inputs!$B$17</definedName>
    <definedName name="IDS_TPA">'IDS Mapping'!$A$2:$A$52</definedName>
    <definedName name="IDS_Consultant">'IDS Mapping'!$D$2:$D$52</definedName>
    <definedName name="PI_Consultant">'Per-Investor Allocation'!$C$2:$C$52</definedName>
    <definedName name="PI_PerfFee">'Per-Investor Allocation'!$G$2:$G$52</definedName>
    <definedName name="PI_ConsultantCut">'Per-Investor Allocation'!$I$2:$I$52</definedName>
    <definedName name="PI_FundMgmt">'Per-Investor Allocation'!$H$2:$H$52</definedName>
    <definedName name="PI_Capital">'Per-Investor Allocation'!$E$2:$E$52</definedName>
    <definedName name="Costs_PartyHeaders">Costs!$E$5:$N$5</definedName>
    <definedName name="Costs_PartyTotals">Costs!$E$14:$N$14</definedName>
    <definedName name="Costs_Total">Costs!$B$14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94a3b8"/>
    </font>
    <font>
      <b val="1"/>
      <color rgb="00e2e8f0"/>
    </font>
    <font>
      <b val="1"/>
      <color rgb="0010b981"/>
    </font>
    <font>
      <b val="1"/>
      <color rgb="00e2e8f0"/>
      <sz val="10"/>
    </font>
    <font>
      <b val="1"/>
    </font>
    <font>
      <b val="1"/>
      <color rgb="00a78bfa"/>
    </font>
    <font>
      <b val="1"/>
      <color rgb="0093c5fd"/>
    </font>
    <font>
      <i val="1"/>
      <color rgb="0093c5fd"/>
    </font>
    <font>
      <i val="1"/>
      <color rgb="00d8b4fe"/>
    </font>
    <font>
      <b val="1"/>
      <color rgb="00fbbf24"/>
    </font>
    <font>
      <i val="1"/>
      <color rgb="00fbbf24"/>
    </font>
    <font>
      <i val="1"/>
      <color rgb="0094a3b8"/>
      <sz val="9"/>
    </font>
    <font>
      <i val="1"/>
      <color rgb="00a78bfa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1a2236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2a3550"/>
      </left>
      <right style="thin">
        <color rgb="002a3550"/>
      </right>
      <top style="thin">
        <color rgb="002a3550"/>
      </top>
      <bottom style="thin">
        <color rgb="002a355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0" fillId="2" borderId="0" pivotButton="0" quotePrefix="0" xfId="0"/>
    <xf numFmtId="10" fontId="4" fillId="0" borderId="0" pivotButton="0" quotePrefix="0" xfId="0"/>
    <xf numFmtId="164" fontId="4" fillId="0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center"/>
    </xf>
    <xf numFmtId="164" fontId="0" fillId="0" borderId="0" pivotButton="0" quotePrefix="0" xfId="0"/>
    <xf numFmtId="0" fontId="6" fillId="0" borderId="0" pivotButton="0" quotePrefix="0" xfId="0"/>
    <xf numFmtId="164" fontId="6" fillId="4" borderId="0" pivotButton="0" quotePrefix="0" xfId="0"/>
    <xf numFmtId="10" fontId="0" fillId="0" borderId="0" pivotButton="0" quotePrefix="0" xfId="0"/>
    <xf numFmtId="0" fontId="7" fillId="0" borderId="0" pivotButton="0" quotePrefix="0" xfId="0"/>
    <xf numFmtId="0" fontId="6" fillId="4" borderId="0" pivotButton="0" quotePrefix="0" xfId="0"/>
    <xf numFmtId="10" fontId="6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Armada Prime LLP — Consultant Splits</t>
        </is>
      </c>
    </row>
    <row r="2">
      <c r="A2" s="2" t="inlineStr">
        <is>
          <t>Period: Mar 2026</t>
        </is>
      </c>
    </row>
    <row r="4">
      <c r="A4" s="3" t="inlineStr">
        <is>
          <t>GP Pool Split %</t>
        </is>
      </c>
    </row>
    <row r="5">
      <c r="A5" t="inlineStr">
        <is>
          <t>Fund Mgmt</t>
        </is>
      </c>
      <c r="B5" s="4" t="n">
        <v>0.595</v>
      </c>
    </row>
    <row r="6">
      <c r="A6" t="inlineStr">
        <is>
          <t>Consultant</t>
        </is>
      </c>
      <c r="B6" s="4" t="n">
        <v>0.39</v>
      </c>
    </row>
    <row r="7">
      <c r="A7" t="inlineStr">
        <is>
          <t>Raj</t>
        </is>
      </c>
      <c r="B7" s="4" t="n">
        <v>0.005</v>
      </c>
    </row>
    <row r="8">
      <c r="A8" t="inlineStr">
        <is>
          <t>Nairne</t>
        </is>
      </c>
      <c r="B8" s="4" t="n">
        <v>0.005</v>
      </c>
    </row>
    <row r="9">
      <c r="A9" t="inlineStr">
        <is>
          <t>Alec (GP)</t>
        </is>
      </c>
      <c r="B9" s="4" t="n">
        <v>0.005</v>
      </c>
    </row>
    <row r="11">
      <c r="A11" t="inlineStr">
        <is>
          <t>Total split (sanity)</t>
        </is>
      </c>
      <c r="B11" s="5">
        <f>SUM(B5:B9)</f>
        <v/>
      </c>
    </row>
    <row r="13">
      <c r="A13" s="3" t="inlineStr">
        <is>
          <t>Expense Pool</t>
        </is>
      </c>
    </row>
    <row r="14">
      <c r="A14" t="inlineStr">
        <is>
          <t>Operating expenses (live-linked to Costs sheet)</t>
        </is>
      </c>
      <c r="B14" s="6">
        <f>Costs_Total</f>
        <v/>
      </c>
    </row>
    <row r="16">
      <c r="A16" s="3" t="inlineStr">
        <is>
          <t>TruQuant Income (upstream)</t>
        </is>
      </c>
    </row>
    <row r="17">
      <c r="A17" t="inlineStr">
        <is>
          <t>TQ takes 18% before Armada's books</t>
        </is>
      </c>
      <c r="B17" s="7" t="n">
        <v>88869.69</v>
      </c>
    </row>
    <row r="19">
      <c r="A19" s="3" t="inlineStr">
        <is>
          <t>Notes</t>
        </is>
      </c>
    </row>
    <row r="20">
      <c r="A20" s="8" t="inlineStr">
        <is>
          <t>TPA per-investor performance-fee crystallized = each investor's GP pool. Consultant attribution flows from IDS → Per-Investor Allocation → Consultant Summary. Cost line items live on the Costs sheet — edit there and amounts re-flow to Consultant Summary.</t>
        </is>
      </c>
    </row>
    <row r="21"/>
    <row r="22"/>
  </sheetData>
  <mergeCells count="2">
    <mergeCell ref="A1:F1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9" customWidth="1" min="1" max="1"/>
    <col width="48" customWidth="1" min="2" max="2"/>
    <col width="15" customWidth="1" min="3" max="3"/>
    <col width="30" customWidth="1" min="4" max="4"/>
    <col width="33" customWidth="1" min="5" max="5"/>
  </cols>
  <sheetData>
    <row r="1">
      <c r="A1" s="9" t="inlineStr">
        <is>
          <t>TPA ID</t>
        </is>
      </c>
      <c r="B1" s="9" t="inlineStr">
        <is>
          <t>Investor Name</t>
        </is>
      </c>
      <c r="C1" s="9" t="inlineStr">
        <is>
          <t>Position ID</t>
        </is>
      </c>
      <c r="D1" s="9" t="inlineStr">
        <is>
          <t>Consultant</t>
        </is>
      </c>
      <c r="E1" s="9" t="inlineStr">
        <is>
          <t>Source</t>
        </is>
      </c>
    </row>
    <row r="2">
      <c r="A2" t="inlineStr">
        <is>
          <t>14-Class B-1029-1</t>
        </is>
      </c>
      <c r="B2" t="inlineStr">
        <is>
          <t>Philip Okala</t>
        </is>
      </c>
      <c r="C2" t="n">
        <v>2079630</v>
      </c>
      <c r="D2" t="inlineStr">
        <is>
          <t>Alec Atkinson</t>
        </is>
      </c>
      <c r="E2" t="inlineStr">
        <is>
          <t>TPA + IDS</t>
        </is>
      </c>
    </row>
    <row r="3">
      <c r="A3" t="inlineStr">
        <is>
          <t>14-Class B-1012-1</t>
        </is>
      </c>
      <c r="B3" t="inlineStr">
        <is>
          <t>NC Opportunity Fund, LP</t>
        </is>
      </c>
      <c r="C3" t="n">
        <v>2196755</v>
      </c>
      <c r="D3" t="inlineStr">
        <is>
          <t>Alec Atkinson</t>
        </is>
      </c>
      <c r="E3" t="inlineStr">
        <is>
          <t>TPA + IDS</t>
        </is>
      </c>
    </row>
    <row r="4">
      <c r="A4" t="inlineStr">
        <is>
          <t>14-Class B-1027-1</t>
        </is>
      </c>
      <c r="B4" t="inlineStr">
        <is>
          <t>Fund Hub Investments LLC</t>
        </is>
      </c>
      <c r="C4" t="inlineStr">
        <is>
          <t>INVCSD1622331</t>
        </is>
      </c>
      <c r="D4" t="inlineStr">
        <is>
          <t>Fund Hub SPV (Pending Split)</t>
        </is>
      </c>
      <c r="E4" t="inlineStr">
        <is>
          <t>Override (confirmed 2026-04-27)</t>
        </is>
      </c>
    </row>
    <row r="5">
      <c r="A5" t="inlineStr">
        <is>
          <t>14-Class B-1028-1</t>
        </is>
      </c>
      <c r="B5" t="inlineStr">
        <is>
          <t>DW MILLER LAND AND LIVESTOCK LLC</t>
        </is>
      </c>
      <c r="C5" t="n">
        <v>2223757</v>
      </c>
      <c r="D5" t="inlineStr">
        <is>
          <t>Alec Atkinson</t>
        </is>
      </c>
      <c r="E5" t="inlineStr">
        <is>
          <t>TPA + IDS</t>
        </is>
      </c>
    </row>
    <row r="6">
      <c r="A6" t="inlineStr">
        <is>
          <t>14-Class B-1013-1</t>
        </is>
      </c>
      <c r="B6" t="inlineStr">
        <is>
          <t>David Loeffler and Lisa C. Loeffler</t>
        </is>
      </c>
      <c r="C6" t="inlineStr">
        <is>
          <t>Armada7</t>
        </is>
      </c>
      <c r="D6" t="inlineStr">
        <is>
          <t>Jake Gordon</t>
        </is>
      </c>
      <c r="E6" t="inlineStr">
        <is>
          <t>TPA + IDS</t>
        </is>
      </c>
    </row>
    <row r="7">
      <c r="A7" t="inlineStr">
        <is>
          <t>14-Class B-1057-1</t>
        </is>
      </c>
      <c r="B7" t="inlineStr">
        <is>
          <t>PHF 2008 Descendants Separate Trust</t>
        </is>
      </c>
      <c r="C7" t="inlineStr">
        <is>
          <t>INVCSD3092162</t>
        </is>
      </c>
      <c r="D7" t="inlineStr">
        <is>
          <t>Alec Atkinson</t>
        </is>
      </c>
      <c r="E7" t="inlineStr">
        <is>
          <t>TPA + IDS</t>
        </is>
      </c>
    </row>
    <row r="8">
      <c r="A8" t="inlineStr">
        <is>
          <t>14-Class B-1000-1</t>
        </is>
      </c>
      <c r="B8" t="inlineStr">
        <is>
          <t>Erik Simpson</t>
        </is>
      </c>
      <c r="C8" t="inlineStr">
        <is>
          <t>Armada1</t>
        </is>
      </c>
      <c r="D8" t="inlineStr">
        <is>
          <t>AJ Affleck</t>
        </is>
      </c>
      <c r="E8" t="inlineStr">
        <is>
          <t>TPA + IDS</t>
        </is>
      </c>
    </row>
    <row r="9">
      <c r="A9" t="inlineStr">
        <is>
          <t>14-Class B-1038-1</t>
        </is>
      </c>
      <c r="B9" t="inlineStr">
        <is>
          <t>SHIRE HOLDINGS FAMILY LP</t>
        </is>
      </c>
      <c r="C9" t="inlineStr">
        <is>
          <t>INVCSD1625482</t>
        </is>
      </c>
      <c r="D9" t="inlineStr">
        <is>
          <t>Alec Atkinson</t>
        </is>
      </c>
      <c r="E9" t="inlineStr">
        <is>
          <t>TPA + IDS</t>
        </is>
      </c>
    </row>
    <row r="10">
      <c r="A10" t="inlineStr">
        <is>
          <t>14-Class B-1006-1</t>
        </is>
      </c>
      <c r="B10" t="inlineStr">
        <is>
          <t>Steve Corpuz</t>
        </is>
      </c>
      <c r="C10" t="n">
        <v>2196751</v>
      </c>
      <c r="D10" t="inlineStr">
        <is>
          <t>Jake Gordon</t>
        </is>
      </c>
      <c r="E10" t="inlineStr">
        <is>
          <t>TPA + IDS</t>
        </is>
      </c>
    </row>
    <row r="11">
      <c r="A11" t="inlineStr">
        <is>
          <t>14-Class B-1008-1</t>
        </is>
      </c>
      <c r="B11" t="inlineStr">
        <is>
          <t>Reid Sessions</t>
        </is>
      </c>
      <c r="C11" t="n">
        <v>2169292</v>
      </c>
      <c r="D11" t="inlineStr">
        <is>
          <t>Jake Gordon</t>
        </is>
      </c>
      <c r="E11" t="inlineStr">
        <is>
          <t>TPA + IDS</t>
        </is>
      </c>
    </row>
    <row r="12">
      <c r="A12" t="inlineStr">
        <is>
          <t>14-Class B-1009-1</t>
        </is>
      </c>
      <c r="B12" t="inlineStr">
        <is>
          <t>Doug Corpuz</t>
        </is>
      </c>
      <c r="C12" t="inlineStr">
        <is>
          <t>INVCSD1620508</t>
        </is>
      </c>
      <c r="D12" t="inlineStr">
        <is>
          <t>Jake Gordon</t>
        </is>
      </c>
      <c r="E12" t="inlineStr">
        <is>
          <t>TPA + IDS</t>
        </is>
      </c>
    </row>
    <row r="13">
      <c r="A13" t="inlineStr">
        <is>
          <t>14-Class B-1065-1</t>
        </is>
      </c>
      <c r="B13" t="inlineStr">
        <is>
          <t>AltoIRA Custodian FBO Michelle Henriques</t>
        </is>
      </c>
      <c r="C13" t="inlineStr">
        <is>
          <t>INVCSD3093119</t>
        </is>
      </c>
      <c r="D13" t="inlineStr">
        <is>
          <t>Alec Atkinson</t>
        </is>
      </c>
      <c r="E13" t="inlineStr">
        <is>
          <t>TPA + IDS</t>
        </is>
      </c>
    </row>
    <row r="14">
      <c r="A14" t="inlineStr">
        <is>
          <t>14-Class B-1021-1</t>
        </is>
      </c>
      <c r="B14" t="inlineStr">
        <is>
          <t>Colin Steinberg</t>
        </is>
      </c>
      <c r="C14" t="n">
        <v>2196752</v>
      </c>
      <c r="D14" t="inlineStr">
        <is>
          <t>Alec Atkinson</t>
        </is>
      </c>
      <c r="E14" t="inlineStr">
        <is>
          <t>TPA + IDS</t>
        </is>
      </c>
    </row>
    <row r="15">
      <c r="A15" t="inlineStr">
        <is>
          <t>14-Class B-1076-1</t>
        </is>
      </c>
      <c r="B15" t="inlineStr">
        <is>
          <t>Philippe Henriques</t>
        </is>
      </c>
      <c r="D15" t="inlineStr">
        <is>
          <t>Alec Atkinson</t>
        </is>
      </c>
      <c r="E15" t="inlineStr">
        <is>
          <t>Override (confirmed 2026-04-27)</t>
        </is>
      </c>
    </row>
    <row r="16">
      <c r="A16" t="inlineStr">
        <is>
          <t>14-Class B-1003-1</t>
        </is>
      </c>
      <c r="B16" t="inlineStr">
        <is>
          <t>Benjamin Smith</t>
        </is>
      </c>
      <c r="C16" t="n">
        <v>2079483</v>
      </c>
      <c r="D16" t="inlineStr">
        <is>
          <t>Alec Atkinson</t>
        </is>
      </c>
      <c r="E16" t="inlineStr">
        <is>
          <t>TPA + IDS</t>
        </is>
      </c>
    </row>
    <row r="17">
      <c r="A17" t="inlineStr">
        <is>
          <t>14-Class B-1007-1</t>
        </is>
      </c>
      <c r="B17" t="inlineStr">
        <is>
          <t>Yan Purba</t>
        </is>
      </c>
      <c r="C17" t="inlineStr">
        <is>
          <t>Armada6</t>
        </is>
      </c>
      <c r="D17" t="inlineStr">
        <is>
          <t>Jake Gordon</t>
        </is>
      </c>
      <c r="E17" t="inlineStr">
        <is>
          <t>TPA + IDS</t>
        </is>
      </c>
    </row>
    <row r="18">
      <c r="A18" t="inlineStr">
        <is>
          <t>14-Class B-1026-1</t>
        </is>
      </c>
      <c r="B18" t="inlineStr">
        <is>
          <t>AltoIRA Custodian FBO Marcus Whitney</t>
        </is>
      </c>
      <c r="C18" t="n">
        <v>2169294</v>
      </c>
      <c r="D18" t="inlineStr">
        <is>
          <t>Alec Atkinson</t>
        </is>
      </c>
      <c r="E18" t="inlineStr">
        <is>
          <t>TPA + IDS</t>
        </is>
      </c>
    </row>
    <row r="19">
      <c r="A19" t="inlineStr">
        <is>
          <t>14-Class B-1073-1</t>
        </is>
      </c>
      <c r="B19" t="inlineStr">
        <is>
          <t>PGJCHoldings LLC</t>
        </is>
      </c>
      <c r="D19" t="inlineStr">
        <is>
          <t>Alec Atkinson</t>
        </is>
      </c>
      <c r="E19" t="inlineStr">
        <is>
          <t>Override (confirmed 2026-04-27)</t>
        </is>
      </c>
    </row>
    <row r="20">
      <c r="A20" t="inlineStr">
        <is>
          <t>14-Class B-1023-1</t>
        </is>
      </c>
      <c r="B20" t="inlineStr">
        <is>
          <t>Douglas Wilcox and Miles Wesley Wilcox</t>
        </is>
      </c>
      <c r="C20" t="n">
        <v>2125291</v>
      </c>
      <c r="D20" t="inlineStr">
        <is>
          <t>Alec Atkinson</t>
        </is>
      </c>
      <c r="E20" t="inlineStr">
        <is>
          <t>TPA + IDS</t>
        </is>
      </c>
    </row>
    <row r="21">
      <c r="A21" t="inlineStr">
        <is>
          <t>14-Class B-1030-1</t>
        </is>
      </c>
      <c r="B21" t="inlineStr">
        <is>
          <t>Platte River Holdings LLC</t>
        </is>
      </c>
      <c r="C21" t="n">
        <v>2125290</v>
      </c>
      <c r="D21" t="inlineStr">
        <is>
          <t>Alec Atkinson</t>
        </is>
      </c>
      <c r="E21" t="inlineStr">
        <is>
          <t>TPA + IDS</t>
        </is>
      </c>
    </row>
    <row r="22">
      <c r="A22" t="inlineStr">
        <is>
          <t>14-Class B-1067-1</t>
        </is>
      </c>
      <c r="B22" t="inlineStr">
        <is>
          <t>Joshua W Miller and Brooke G Miller</t>
        </is>
      </c>
      <c r="C22" t="inlineStr">
        <is>
          <t>INVCSD3136681</t>
        </is>
      </c>
      <c r="D22" t="inlineStr">
        <is>
          <t>Jake Gordon</t>
        </is>
      </c>
      <c r="E22" t="inlineStr">
        <is>
          <t>TPA + IDS</t>
        </is>
      </c>
    </row>
    <row r="23">
      <c r="A23" t="inlineStr">
        <is>
          <t>14-Class B-1019-1</t>
        </is>
      </c>
      <c r="B23" t="inlineStr">
        <is>
          <t>Fred Gorges</t>
        </is>
      </c>
      <c r="C23" t="n">
        <v>2255887</v>
      </c>
      <c r="D23" t="inlineStr">
        <is>
          <t>Alec Atkinson</t>
        </is>
      </c>
      <c r="E23" t="inlineStr">
        <is>
          <t>TPA + IDS</t>
        </is>
      </c>
    </row>
    <row r="24">
      <c r="A24" t="inlineStr">
        <is>
          <t>14-Class B-1018-1</t>
        </is>
      </c>
      <c r="B24" t="inlineStr">
        <is>
          <t>Bryce Dee Christensen</t>
        </is>
      </c>
      <c r="C24" t="n">
        <v>2053218</v>
      </c>
      <c r="D24" t="inlineStr">
        <is>
          <t>Alec Atkinson</t>
        </is>
      </c>
      <c r="E24" t="inlineStr">
        <is>
          <t>TPA + IDS</t>
        </is>
      </c>
    </row>
    <row r="25">
      <c r="A25" t="inlineStr">
        <is>
          <t>14-Class B-1011-1</t>
        </is>
      </c>
      <c r="B25" t="inlineStr">
        <is>
          <t>David Anderson</t>
        </is>
      </c>
      <c r="C25" t="n">
        <v>2053224</v>
      </c>
      <c r="D25" t="inlineStr">
        <is>
          <t>Alec Atkinson</t>
        </is>
      </c>
      <c r="E25" t="inlineStr">
        <is>
          <t>TPA + IDS</t>
        </is>
      </c>
    </row>
    <row r="26">
      <c r="A26" t="inlineStr">
        <is>
          <t>14-Class B-1005-1</t>
        </is>
      </c>
      <c r="B26" t="inlineStr">
        <is>
          <t>Madison Trust Company, Custodian FBO David Gordon Affleck M24122132</t>
        </is>
      </c>
      <c r="C26" t="n">
        <v>2144699</v>
      </c>
      <c r="D26" t="inlineStr">
        <is>
          <t>AJ Affleck</t>
        </is>
      </c>
      <c r="E26" t="inlineStr">
        <is>
          <t>TPA + IDS</t>
        </is>
      </c>
    </row>
    <row r="27">
      <c r="A27" t="inlineStr">
        <is>
          <t>14-Class B-1014-1</t>
        </is>
      </c>
      <c r="B27" t="inlineStr">
        <is>
          <t>BENIK LLC</t>
        </is>
      </c>
      <c r="C27" t="inlineStr">
        <is>
          <t>Armada4</t>
        </is>
      </c>
      <c r="D27" t="inlineStr">
        <is>
          <t>Alec Atkinson</t>
        </is>
      </c>
      <c r="E27" t="inlineStr">
        <is>
          <t>TPA + IDS</t>
        </is>
      </c>
    </row>
    <row r="28">
      <c r="A28" t="inlineStr">
        <is>
          <t>14-Class B-1022-1</t>
        </is>
      </c>
      <c r="B28" t="inlineStr">
        <is>
          <t>John Hudson Taylor Anderson</t>
        </is>
      </c>
      <c r="C28" t="n">
        <v>2058391</v>
      </c>
      <c r="D28" t="inlineStr">
        <is>
          <t>Alec Atkinson</t>
        </is>
      </c>
      <c r="E28" t="inlineStr">
        <is>
          <t>TPA + IDS</t>
        </is>
      </c>
    </row>
    <row r="29">
      <c r="A29" t="inlineStr">
        <is>
          <t>14-Class B-1031-1</t>
        </is>
      </c>
      <c r="B29" t="inlineStr">
        <is>
          <t>Jerry Dwayne Fussell</t>
        </is>
      </c>
      <c r="C29" t="inlineStr">
        <is>
          <t>Armada10</t>
        </is>
      </c>
      <c r="D29" t="inlineStr">
        <is>
          <t>Alec Atkinson</t>
        </is>
      </c>
      <c r="E29" t="inlineStr">
        <is>
          <t>TPA + IDS</t>
        </is>
      </c>
    </row>
    <row r="30">
      <c r="A30" t="inlineStr">
        <is>
          <t>14-Class B-1032-1</t>
        </is>
      </c>
      <c r="B30" t="inlineStr">
        <is>
          <t>Ten Eighty Trading LLC</t>
        </is>
      </c>
      <c r="C30" t="inlineStr">
        <is>
          <t>Armada9</t>
        </is>
      </c>
      <c r="D30" t="inlineStr">
        <is>
          <t>Alec Atkinson</t>
        </is>
      </c>
      <c r="E30" t="inlineStr">
        <is>
          <t>TPA + IDS</t>
        </is>
      </c>
    </row>
    <row r="31">
      <c r="A31" t="inlineStr">
        <is>
          <t>14-Class B-1036-1</t>
        </is>
      </c>
      <c r="B31" t="inlineStr">
        <is>
          <t>Caleb Andrew Cupp</t>
        </is>
      </c>
      <c r="C31" t="inlineStr">
        <is>
          <t>Armada11</t>
        </is>
      </c>
      <c r="D31" t="inlineStr">
        <is>
          <t>Alec Atkinson</t>
        </is>
      </c>
      <c r="E31" t="inlineStr">
        <is>
          <t>TPA + IDS</t>
        </is>
      </c>
    </row>
    <row r="32">
      <c r="A32" t="inlineStr">
        <is>
          <t>14-Class B-1035-1</t>
        </is>
      </c>
      <c r="B32" t="inlineStr">
        <is>
          <t>Scott Gordon and Tiffany Dyer Gordon</t>
        </is>
      </c>
      <c r="C32" t="inlineStr">
        <is>
          <t>Armada8</t>
        </is>
      </c>
      <c r="D32" t="inlineStr">
        <is>
          <t>Jake Gordon</t>
        </is>
      </c>
      <c r="E32" t="inlineStr">
        <is>
          <t>TPA + IDS</t>
        </is>
      </c>
    </row>
    <row r="33">
      <c r="A33" t="inlineStr">
        <is>
          <t>14-Class B-1053-1</t>
        </is>
      </c>
      <c r="B33" t="inlineStr">
        <is>
          <t>MATTHEW AND MELINDA WILLIAMS CHARITABLE REMAINDER UNITRUST</t>
        </is>
      </c>
      <c r="C33" t="inlineStr">
        <is>
          <t>M&amp;MW</t>
        </is>
      </c>
      <c r="D33" t="inlineStr">
        <is>
          <t>Alec Atkinson</t>
        </is>
      </c>
      <c r="E33" t="inlineStr">
        <is>
          <t>TPA + IDS</t>
        </is>
      </c>
    </row>
    <row r="34">
      <c r="A34" t="inlineStr">
        <is>
          <t>14-Class B-1055-1</t>
        </is>
      </c>
      <c r="B34" t="inlineStr">
        <is>
          <t>Sean D. Reyes</t>
        </is>
      </c>
      <c r="C34" t="inlineStr">
        <is>
          <t>INVCSD1623645</t>
        </is>
      </c>
      <c r="D34" t="inlineStr">
        <is>
          <t>Jake Gordon</t>
        </is>
      </c>
      <c r="E34" t="inlineStr">
        <is>
          <t>TPA + IDS</t>
        </is>
      </c>
    </row>
    <row r="35">
      <c r="A35" t="inlineStr">
        <is>
          <t>14-Class B-1058-1</t>
        </is>
      </c>
      <c r="B35" t="inlineStr">
        <is>
          <t>PL Investment Group, LLC</t>
        </is>
      </c>
      <c r="C35" t="inlineStr">
        <is>
          <t>INVCSD3091728</t>
        </is>
      </c>
      <c r="D35" t="inlineStr">
        <is>
          <t>Alec Atkinson</t>
        </is>
      </c>
      <c r="E35" t="inlineStr">
        <is>
          <t>TPA + IDS</t>
        </is>
      </c>
    </row>
    <row r="36">
      <c r="A36" t="inlineStr">
        <is>
          <t>14-Class B-1061-1</t>
        </is>
      </c>
      <c r="B36" t="inlineStr">
        <is>
          <t>Craig Levinson</t>
        </is>
      </c>
      <c r="C36" t="inlineStr">
        <is>
          <t>INVCSD1626047</t>
        </is>
      </c>
      <c r="D36" t="inlineStr">
        <is>
          <t>AJ Affleck</t>
        </is>
      </c>
      <c r="E36" t="inlineStr">
        <is>
          <t>TPA + IDS</t>
        </is>
      </c>
    </row>
    <row r="37">
      <c r="A37" t="inlineStr">
        <is>
          <t>14-Class B-1060-1</t>
        </is>
      </c>
      <c r="B37" t="inlineStr">
        <is>
          <t>Daniel Welch Kirkham</t>
        </is>
      </c>
      <c r="C37" t="inlineStr">
        <is>
          <t>INVCSD3092282</t>
        </is>
      </c>
      <c r="D37" t="inlineStr">
        <is>
          <t>Luke</t>
        </is>
      </c>
      <c r="E37" t="inlineStr">
        <is>
          <t>TPA + IDS</t>
        </is>
      </c>
    </row>
    <row r="38">
      <c r="A38" t="inlineStr">
        <is>
          <t>14-Class B-1059-1</t>
        </is>
      </c>
      <c r="B38" t="inlineStr">
        <is>
          <t>John Charles Kirkham</t>
        </is>
      </c>
      <c r="C38" t="inlineStr">
        <is>
          <t>INVCSD3092199</t>
        </is>
      </c>
      <c r="D38" t="inlineStr">
        <is>
          <t>AJ Affleck</t>
        </is>
      </c>
      <c r="E38" t="inlineStr">
        <is>
          <t>TPA + IDS</t>
        </is>
      </c>
    </row>
    <row r="39">
      <c r="A39" t="inlineStr">
        <is>
          <t>14-Class B-1064-1</t>
        </is>
      </c>
      <c r="B39" t="inlineStr">
        <is>
          <t>Advanta Trust Company Inc. FBO Shreekanth Karwande IRA 1522282</t>
        </is>
      </c>
      <c r="C39" t="inlineStr">
        <is>
          <t>INVCSD3092154</t>
        </is>
      </c>
      <c r="D39" t="inlineStr">
        <is>
          <t>Luke</t>
        </is>
      </c>
      <c r="E39" t="inlineStr">
        <is>
          <t>TPA + IDS</t>
        </is>
      </c>
    </row>
    <row r="40">
      <c r="A40" t="inlineStr">
        <is>
          <t>14-Class B-1037-1</t>
        </is>
      </c>
      <c r="B40" t="inlineStr">
        <is>
          <t>James Lockhart</t>
        </is>
      </c>
      <c r="C40" t="inlineStr">
        <is>
          <t>INVCSD1625337</t>
        </is>
      </c>
      <c r="D40" t="inlineStr">
        <is>
          <t>Alec Atkinson</t>
        </is>
      </c>
      <c r="E40" t="inlineStr">
        <is>
          <t>TPA + IDS</t>
        </is>
      </c>
    </row>
    <row r="41">
      <c r="A41" t="inlineStr">
        <is>
          <t>14-Class B-1063-1</t>
        </is>
      </c>
      <c r="B41" t="inlineStr">
        <is>
          <t>Lyman Phillips</t>
        </is>
      </c>
      <c r="C41" t="inlineStr">
        <is>
          <t>INVCSD3093225</t>
        </is>
      </c>
      <c r="D41" t="inlineStr">
        <is>
          <t>Alec Atkinson</t>
        </is>
      </c>
      <c r="E41" t="inlineStr">
        <is>
          <t>TPA + IDS</t>
        </is>
      </c>
    </row>
    <row r="42">
      <c r="A42" t="inlineStr">
        <is>
          <t>14-Class B-1062-1</t>
        </is>
      </c>
      <c r="B42" t="inlineStr">
        <is>
          <t>Lori Brennan</t>
        </is>
      </c>
      <c r="C42" t="inlineStr">
        <is>
          <t>INVCSD3092104</t>
        </is>
      </c>
      <c r="D42" t="inlineStr">
        <is>
          <t>Alec Atkinson</t>
        </is>
      </c>
      <c r="E42" t="inlineStr">
        <is>
          <t>TPA + IDS</t>
        </is>
      </c>
    </row>
    <row r="43">
      <c r="A43" t="inlineStr">
        <is>
          <t>14-Class B-1066-1</t>
        </is>
      </c>
      <c r="B43" t="inlineStr">
        <is>
          <t>Brandy and Adam Fisher</t>
        </is>
      </c>
      <c r="C43" t="inlineStr">
        <is>
          <t>INVCSD3136488</t>
        </is>
      </c>
      <c r="D43" t="inlineStr">
        <is>
          <t>Alec Atkinson</t>
        </is>
      </c>
      <c r="E43" t="inlineStr">
        <is>
          <t>TPA + IDS</t>
        </is>
      </c>
    </row>
    <row r="44">
      <c r="A44" t="inlineStr">
        <is>
          <t>14-Class B-1072-1</t>
        </is>
      </c>
      <c r="B44" t="inlineStr">
        <is>
          <t>Mashirito LLC</t>
        </is>
      </c>
      <c r="D44" t="inlineStr">
        <is>
          <t>Alec Atkinson</t>
        </is>
      </c>
      <c r="E44" t="inlineStr">
        <is>
          <t>Override (confirmed 2026-04-27)</t>
        </is>
      </c>
    </row>
    <row r="45">
      <c r="A45" t="inlineStr">
        <is>
          <t>14-Class B-1068-1</t>
        </is>
      </c>
      <c r="B45" t="inlineStr">
        <is>
          <t>Weston Shea Christensen</t>
        </is>
      </c>
      <c r="D45" t="inlineStr">
        <is>
          <t>Alec Atkinson</t>
        </is>
      </c>
      <c r="E45" t="inlineStr">
        <is>
          <t>Override (confirmed 2026-04-27)</t>
        </is>
      </c>
    </row>
    <row r="46">
      <c r="A46" t="inlineStr">
        <is>
          <t>14-Class B-1002-1</t>
        </is>
      </c>
      <c r="B46" t="inlineStr">
        <is>
          <t>Frieda Goldsmith 1998 Trust</t>
        </is>
      </c>
      <c r="C46" t="inlineStr">
        <is>
          <t>Armada3</t>
        </is>
      </c>
      <c r="D46" t="inlineStr">
        <is>
          <t>Alec Atkinson</t>
        </is>
      </c>
      <c r="E46" t="inlineStr">
        <is>
          <t>TPA + IDS</t>
        </is>
      </c>
    </row>
    <row r="47">
      <c r="A47" t="inlineStr">
        <is>
          <t>14-Class B-1056-1</t>
        </is>
      </c>
      <c r="B47" t="inlineStr">
        <is>
          <t>Richard Gordon</t>
        </is>
      </c>
      <c r="C47" t="inlineStr">
        <is>
          <t>INVCSD1624351</t>
        </is>
      </c>
      <c r="D47" t="inlineStr">
        <is>
          <t>Jake Gordon</t>
        </is>
      </c>
      <c r="E47" t="inlineStr">
        <is>
          <t>TPA + IDS</t>
        </is>
      </c>
    </row>
    <row r="48">
      <c r="A48" t="inlineStr">
        <is>
          <t>14-Class B-1004-1</t>
        </is>
      </c>
      <c r="B48" t="inlineStr">
        <is>
          <t>Golden Touch Properties LLC</t>
        </is>
      </c>
      <c r="C48" t="n">
        <v>2123050</v>
      </c>
      <c r="D48" t="inlineStr">
        <is>
          <t>AJ Affleck</t>
        </is>
      </c>
      <c r="E48" t="inlineStr">
        <is>
          <t>TPA + IDS</t>
        </is>
      </c>
    </row>
    <row r="49">
      <c r="A49" t="inlineStr">
        <is>
          <t>14-Class B-1015-1</t>
        </is>
      </c>
      <c r="B49" t="inlineStr">
        <is>
          <t>Treyson Gordon</t>
        </is>
      </c>
      <c r="C49" t="n">
        <v>2223754</v>
      </c>
      <c r="D49" t="inlineStr">
        <is>
          <t>Jake Gordon</t>
        </is>
      </c>
      <c r="E49" t="inlineStr">
        <is>
          <t>TPA + IDS</t>
        </is>
      </c>
    </row>
    <row r="50">
      <c r="A50" t="inlineStr">
        <is>
          <t>14-Class B-1025-1</t>
        </is>
      </c>
      <c r="B50" t="inlineStr">
        <is>
          <t>The Atkinson Group LLC</t>
        </is>
      </c>
      <c r="C50" t="n">
        <v>2056299</v>
      </c>
      <c r="D50" t="inlineStr">
        <is>
          <t>Alec Atkinson</t>
        </is>
      </c>
      <c r="E50" t="inlineStr">
        <is>
          <t>TPA + IDS</t>
        </is>
      </c>
    </row>
    <row r="51">
      <c r="A51" t="inlineStr">
        <is>
          <t>14-Class B-1010-1</t>
        </is>
      </c>
      <c r="B51" t="inlineStr">
        <is>
          <t>Mitchell Squires</t>
        </is>
      </c>
      <c r="C51" t="n">
        <v>2060557</v>
      </c>
      <c r="D51" t="inlineStr">
        <is>
          <t>Alec Atkinson</t>
        </is>
      </c>
      <c r="E51" t="inlineStr">
        <is>
          <t>TPA + IDS</t>
        </is>
      </c>
    </row>
    <row r="52">
      <c r="A52" t="inlineStr">
        <is>
          <t>14-Class B-1024-1</t>
        </is>
      </c>
      <c r="B52" t="inlineStr">
        <is>
          <t>Joel Guy and Jennifer Pasetes</t>
        </is>
      </c>
      <c r="C52" t="n">
        <v>2053225</v>
      </c>
      <c r="D52" t="inlineStr">
        <is>
          <t>Alec Atkinson</t>
        </is>
      </c>
      <c r="E52" t="inlineStr">
        <is>
          <t>TPA + IDS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9" customWidth="1" min="1" max="1"/>
    <col width="48" customWidth="1" min="2" max="2"/>
    <col width="30" customWidth="1" min="3" max="3"/>
    <col width="15" customWidth="1" min="4" max="4"/>
    <col width="16" customWidth="1" min="5" max="5"/>
    <col width="14" customWidth="1" min="6" max="6"/>
    <col width="20" customWidth="1" min="7" max="7"/>
    <col width="22" customWidth="1" min="8" max="8"/>
    <col width="24" customWidth="1" min="9" max="9"/>
    <col width="17" customWidth="1" min="10" max="10"/>
    <col width="20" customWidth="1" min="11" max="11"/>
    <col width="18" customWidth="1" min="12" max="12"/>
    <col width="29" customWidth="1" min="13" max="13"/>
  </cols>
  <sheetData>
    <row r="1">
      <c r="A1" s="9" t="inlineStr">
        <is>
          <t>TPA ID</t>
        </is>
      </c>
      <c r="B1" s="9" t="inlineStr">
        <is>
          <t>Investor</t>
        </is>
      </c>
      <c r="C1" s="9" t="inlineStr">
        <is>
          <t>Consultant</t>
        </is>
      </c>
      <c r="D1" s="9" t="inlineStr">
        <is>
          <t>Begin Balance</t>
        </is>
      </c>
      <c r="E1" s="9" t="inlineStr">
        <is>
          <t>Ending Balance</t>
        </is>
      </c>
      <c r="F1" s="9" t="inlineStr">
        <is>
          <t>Gross P&amp;L</t>
        </is>
      </c>
      <c r="G1" s="9" t="inlineStr">
        <is>
          <t>Perf Fee (GP Pool)</t>
        </is>
      </c>
      <c r="H1" s="9" t="inlineStr">
        <is>
          <t>Fund Mgmt</t>
        </is>
      </c>
      <c r="I1" s="9" t="inlineStr">
        <is>
          <t>Consultant Cut</t>
        </is>
      </c>
      <c r="J1" s="9" t="inlineStr">
        <is>
          <t>Raj</t>
        </is>
      </c>
      <c r="K1" s="9" t="inlineStr">
        <is>
          <t>Nairne</t>
        </is>
      </c>
      <c r="L1" s="9" t="inlineStr">
        <is>
          <t>Alec (GP)</t>
        </is>
      </c>
      <c r="M1" s="9" t="inlineStr">
        <is>
          <t>Sum Check</t>
        </is>
      </c>
    </row>
    <row r="2">
      <c r="A2" t="inlineStr">
        <is>
          <t>14-Class B-1029-1</t>
        </is>
      </c>
      <c r="B2" t="inlineStr">
        <is>
          <t>Philip Okala</t>
        </is>
      </c>
      <c r="C2" t="inlineStr">
        <is>
          <t>Alec Atkinson</t>
        </is>
      </c>
      <c r="D2" s="10" t="n">
        <v>0</v>
      </c>
      <c r="E2" s="10" t="n">
        <v>1554446.7</v>
      </c>
      <c r="F2" s="10" t="n">
        <v>52197.71</v>
      </c>
      <c r="G2" s="7" t="n">
        <v>15659.31</v>
      </c>
      <c r="H2" s="10">
        <f>G2*GP_FundMgmt_Pct</f>
        <v/>
      </c>
      <c r="I2" s="10">
        <f>G2*GP_Consultant_Pct</f>
        <v/>
      </c>
      <c r="J2" s="10">
        <f>G2*GP_Raj_Pct</f>
        <v/>
      </c>
      <c r="K2" s="10">
        <f>G2*GP_Nairne_Pct</f>
        <v/>
      </c>
      <c r="L2" s="10">
        <f>G2*GP_Alec_Pct</f>
        <v/>
      </c>
      <c r="M2" s="10">
        <f>ROUND(SUM(H2:L2)-G2, 2)</f>
        <v/>
      </c>
    </row>
    <row r="3">
      <c r="A3" t="inlineStr">
        <is>
          <t>14-Class B-1012-1</t>
        </is>
      </c>
      <c r="B3" t="inlineStr">
        <is>
          <t>NC Opportunity Fund, LP</t>
        </is>
      </c>
      <c r="C3" t="inlineStr">
        <is>
          <t>Alec Atkinson</t>
        </is>
      </c>
      <c r="D3" s="10" t="n">
        <v>0</v>
      </c>
      <c r="E3" s="10" t="n">
        <v>1504802.83</v>
      </c>
      <c r="F3" s="10" t="n">
        <v>50530.69</v>
      </c>
      <c r="G3" s="7" t="n">
        <v>15159.21</v>
      </c>
      <c r="H3" s="10">
        <f>G3*GP_FundMgmt_Pct</f>
        <v/>
      </c>
      <c r="I3" s="10">
        <f>G3*GP_Consultant_Pct</f>
        <v/>
      </c>
      <c r="J3" s="10">
        <f>G3*GP_Raj_Pct</f>
        <v/>
      </c>
      <c r="K3" s="10">
        <f>G3*GP_Nairne_Pct</f>
        <v/>
      </c>
      <c r="L3" s="10">
        <f>G3*GP_Alec_Pct</f>
        <v/>
      </c>
      <c r="M3" s="10">
        <f>ROUND(SUM(H3:L3)-G3, 2)</f>
        <v/>
      </c>
    </row>
    <row r="4">
      <c r="A4" t="inlineStr">
        <is>
          <t>14-Class B-1027-1</t>
        </is>
      </c>
      <c r="B4" t="inlineStr">
        <is>
          <t>Fund Hub Investments LLC</t>
        </is>
      </c>
      <c r="C4" t="inlineStr">
        <is>
          <t>Fund Hub SPV (Pending Split)</t>
        </is>
      </c>
      <c r="D4" s="10" t="n">
        <v>0</v>
      </c>
      <c r="E4" s="10" t="n">
        <v>889926.39</v>
      </c>
      <c r="F4" s="10" t="n">
        <v>29883.38</v>
      </c>
      <c r="G4" s="7" t="n">
        <v>8965.01</v>
      </c>
      <c r="H4" s="10">
        <f>G4*GP_FundMgmt_Pct</f>
        <v/>
      </c>
      <c r="I4" s="10">
        <f>G4*GP_Consultant_Pct</f>
        <v/>
      </c>
      <c r="J4" s="10">
        <f>G4*GP_Raj_Pct</f>
        <v/>
      </c>
      <c r="K4" s="10">
        <f>G4*GP_Nairne_Pct</f>
        <v/>
      </c>
      <c r="L4" s="10">
        <f>G4*GP_Alec_Pct</f>
        <v/>
      </c>
      <c r="M4" s="10">
        <f>ROUND(SUM(H4:L4)-G4, 2)</f>
        <v/>
      </c>
    </row>
    <row r="5">
      <c r="A5" t="inlineStr">
        <is>
          <t>14-Class B-1028-1</t>
        </is>
      </c>
      <c r="B5" t="inlineStr">
        <is>
          <t>DW MILLER LAND AND LIVESTOCK LLC</t>
        </is>
      </c>
      <c r="C5" t="inlineStr">
        <is>
          <t>Alec Atkinson</t>
        </is>
      </c>
      <c r="D5" s="10" t="n">
        <v>0</v>
      </c>
      <c r="E5" s="10" t="n">
        <v>782096.09</v>
      </c>
      <c r="F5" s="10" t="n">
        <v>26262.48</v>
      </c>
      <c r="G5" s="7" t="n">
        <v>7878.74</v>
      </c>
      <c r="H5" s="10">
        <f>G5*GP_FundMgmt_Pct</f>
        <v/>
      </c>
      <c r="I5" s="10">
        <f>G5*GP_Consultant_Pct</f>
        <v/>
      </c>
      <c r="J5" s="10">
        <f>G5*GP_Raj_Pct</f>
        <v/>
      </c>
      <c r="K5" s="10">
        <f>G5*GP_Nairne_Pct</f>
        <v/>
      </c>
      <c r="L5" s="10">
        <f>G5*GP_Alec_Pct</f>
        <v/>
      </c>
      <c r="M5" s="10">
        <f>ROUND(SUM(H5:L5)-G5, 2)</f>
        <v/>
      </c>
    </row>
    <row r="6">
      <c r="A6" t="inlineStr">
        <is>
          <t>14-Class B-1013-1</t>
        </is>
      </c>
      <c r="B6" t="inlineStr">
        <is>
          <t>David Loeffler and Lisa C. Loeffler</t>
        </is>
      </c>
      <c r="C6" t="inlineStr">
        <is>
          <t>Jake Gordon</t>
        </is>
      </c>
      <c r="D6" s="10" t="n">
        <v>0</v>
      </c>
      <c r="E6" s="10" t="n">
        <v>736875.59</v>
      </c>
      <c r="F6" s="10" t="n">
        <v>24752.48</v>
      </c>
      <c r="G6" s="7" t="n">
        <v>7425.74</v>
      </c>
      <c r="H6" s="10">
        <f>G6*GP_FundMgmt_Pct</f>
        <v/>
      </c>
      <c r="I6" s="10">
        <f>G6*GP_Consultant_Pct</f>
        <v/>
      </c>
      <c r="J6" s="10">
        <f>G6*GP_Raj_Pct</f>
        <v/>
      </c>
      <c r="K6" s="10">
        <f>G6*GP_Nairne_Pct</f>
        <v/>
      </c>
      <c r="L6" s="10">
        <f>G6*GP_Alec_Pct</f>
        <v/>
      </c>
      <c r="M6" s="10">
        <f>ROUND(SUM(H6:L6)-G6, 2)</f>
        <v/>
      </c>
    </row>
    <row r="7">
      <c r="A7" t="inlineStr">
        <is>
          <t>14-Class B-1057-1</t>
        </is>
      </c>
      <c r="B7" t="inlineStr">
        <is>
          <t>PHF 2008 Descendants Separate Trust</t>
        </is>
      </c>
      <c r="C7" t="inlineStr">
        <is>
          <t>Alec Atkinson</t>
        </is>
      </c>
      <c r="D7" s="10" t="n">
        <v>0</v>
      </c>
      <c r="E7" s="10" t="n">
        <v>532695.99</v>
      </c>
      <c r="F7" s="10" t="n">
        <v>17887.72</v>
      </c>
      <c r="G7" s="7" t="n">
        <v>5366.32</v>
      </c>
      <c r="H7" s="10">
        <f>G7*GP_FundMgmt_Pct</f>
        <v/>
      </c>
      <c r="I7" s="10">
        <f>G7*GP_Consultant_Pct</f>
        <v/>
      </c>
      <c r="J7" s="10">
        <f>G7*GP_Raj_Pct</f>
        <v/>
      </c>
      <c r="K7" s="10">
        <f>G7*GP_Nairne_Pct</f>
        <v/>
      </c>
      <c r="L7" s="10">
        <f>G7*GP_Alec_Pct</f>
        <v/>
      </c>
      <c r="M7" s="10">
        <f>ROUND(SUM(H7:L7)-G7, 2)</f>
        <v/>
      </c>
    </row>
    <row r="8">
      <c r="A8" t="inlineStr">
        <is>
          <t>14-Class B-1000-1</t>
        </is>
      </c>
      <c r="B8" t="inlineStr">
        <is>
          <t>Erik Simpson</t>
        </is>
      </c>
      <c r="C8" t="inlineStr">
        <is>
          <t>AJ Affleck</t>
        </is>
      </c>
      <c r="D8" s="10" t="n">
        <v>0</v>
      </c>
      <c r="E8" s="10" t="n">
        <v>440001.9</v>
      </c>
      <c r="F8" s="10" t="n">
        <v>14775.09</v>
      </c>
      <c r="G8" s="7" t="n">
        <v>4432.53</v>
      </c>
      <c r="H8" s="10">
        <f>G8*GP_FundMgmt_Pct</f>
        <v/>
      </c>
      <c r="I8" s="10">
        <f>G8*GP_Consultant_Pct</f>
        <v/>
      </c>
      <c r="J8" s="10">
        <f>G8*GP_Raj_Pct</f>
        <v/>
      </c>
      <c r="K8" s="10">
        <f>G8*GP_Nairne_Pct</f>
        <v/>
      </c>
      <c r="L8" s="10">
        <f>G8*GP_Alec_Pct</f>
        <v/>
      </c>
      <c r="M8" s="10">
        <f>ROUND(SUM(H8:L8)-G8, 2)</f>
        <v/>
      </c>
    </row>
    <row r="9">
      <c r="A9" t="inlineStr">
        <is>
          <t>14-Class B-1038-1</t>
        </is>
      </c>
      <c r="B9" t="inlineStr">
        <is>
          <t>SHIRE HOLDINGS FAMILY LP</t>
        </is>
      </c>
      <c r="C9" t="inlineStr">
        <is>
          <t>Alec Atkinson</t>
        </is>
      </c>
      <c r="D9" s="10" t="n">
        <v>0</v>
      </c>
      <c r="E9" s="10" t="n">
        <v>370633.4</v>
      </c>
      <c r="F9" s="10" t="n">
        <v>12445.73</v>
      </c>
      <c r="G9" s="7" t="n">
        <v>3733.72</v>
      </c>
      <c r="H9" s="10">
        <f>G9*GP_FundMgmt_Pct</f>
        <v/>
      </c>
      <c r="I9" s="10">
        <f>G9*GP_Consultant_Pct</f>
        <v/>
      </c>
      <c r="J9" s="10">
        <f>G9*GP_Raj_Pct</f>
        <v/>
      </c>
      <c r="K9" s="10">
        <f>G9*GP_Nairne_Pct</f>
        <v/>
      </c>
      <c r="L9" s="10">
        <f>G9*GP_Alec_Pct</f>
        <v/>
      </c>
      <c r="M9" s="10">
        <f>ROUND(SUM(H9:L9)-G9, 2)</f>
        <v/>
      </c>
    </row>
    <row r="10">
      <c r="A10" t="inlineStr">
        <is>
          <t>14-Class B-1006-1</t>
        </is>
      </c>
      <c r="B10" t="inlineStr">
        <is>
          <t>Steve Corpuz</t>
        </is>
      </c>
      <c r="C10" t="inlineStr">
        <is>
          <t>Jake Gordon</t>
        </is>
      </c>
      <c r="D10" s="10" t="n">
        <v>0</v>
      </c>
      <c r="E10" s="10" t="n">
        <v>255515.88</v>
      </c>
      <c r="F10" s="10" t="n">
        <v>8580.120000000001</v>
      </c>
      <c r="G10" s="7" t="n">
        <v>2574.04</v>
      </c>
      <c r="H10" s="10">
        <f>G10*GP_FundMgmt_Pct</f>
        <v/>
      </c>
      <c r="I10" s="10">
        <f>G10*GP_Consultant_Pct</f>
        <v/>
      </c>
      <c r="J10" s="10">
        <f>G10*GP_Raj_Pct</f>
        <v/>
      </c>
      <c r="K10" s="10">
        <f>G10*GP_Nairne_Pct</f>
        <v/>
      </c>
      <c r="L10" s="10">
        <f>G10*GP_Alec_Pct</f>
        <v/>
      </c>
      <c r="M10" s="10">
        <f>ROUND(SUM(H10:L10)-G10, 2)</f>
        <v/>
      </c>
    </row>
    <row r="11">
      <c r="A11" t="inlineStr">
        <is>
          <t>14-Class B-1008-1</t>
        </is>
      </c>
      <c r="B11" t="inlineStr">
        <is>
          <t>Reid Sessions</t>
        </is>
      </c>
      <c r="C11" t="inlineStr">
        <is>
          <t>Jake Gordon</t>
        </is>
      </c>
      <c r="D11" s="10" t="n">
        <v>0</v>
      </c>
      <c r="E11" s="10" t="n">
        <v>252800.89</v>
      </c>
      <c r="F11" s="10" t="n">
        <v>8488.959999999999</v>
      </c>
      <c r="G11" s="7" t="n">
        <v>2546.69</v>
      </c>
      <c r="H11" s="10">
        <f>G11*GP_FundMgmt_Pct</f>
        <v/>
      </c>
      <c r="I11" s="10">
        <f>G11*GP_Consultant_Pct</f>
        <v/>
      </c>
      <c r="J11" s="10">
        <f>G11*GP_Raj_Pct</f>
        <v/>
      </c>
      <c r="K11" s="10">
        <f>G11*GP_Nairne_Pct</f>
        <v/>
      </c>
      <c r="L11" s="10">
        <f>G11*GP_Alec_Pct</f>
        <v/>
      </c>
      <c r="M11" s="10">
        <f>ROUND(SUM(H11:L11)-G11, 2)</f>
        <v/>
      </c>
    </row>
    <row r="12">
      <c r="A12" t="inlineStr">
        <is>
          <t>14-Class B-1009-1</t>
        </is>
      </c>
      <c r="B12" t="inlineStr">
        <is>
          <t>Doug Corpuz</t>
        </is>
      </c>
      <c r="C12" t="inlineStr">
        <is>
          <t>Jake Gordon</t>
        </is>
      </c>
      <c r="D12" s="10" t="n">
        <v>0</v>
      </c>
      <c r="E12" s="10" t="n">
        <v>206967.8</v>
      </c>
      <c r="F12" s="10" t="n">
        <v>6949.9</v>
      </c>
      <c r="G12" s="7" t="n">
        <v>2084.97</v>
      </c>
      <c r="H12" s="10">
        <f>G12*GP_FundMgmt_Pct</f>
        <v/>
      </c>
      <c r="I12" s="10">
        <f>G12*GP_Consultant_Pct</f>
        <v/>
      </c>
      <c r="J12" s="10">
        <f>G12*GP_Raj_Pct</f>
        <v/>
      </c>
      <c r="K12" s="10">
        <f>G12*GP_Nairne_Pct</f>
        <v/>
      </c>
      <c r="L12" s="10">
        <f>G12*GP_Alec_Pct</f>
        <v/>
      </c>
      <c r="M12" s="10">
        <f>ROUND(SUM(H12:L12)-G12, 2)</f>
        <v/>
      </c>
    </row>
    <row r="13">
      <c r="A13" t="inlineStr">
        <is>
          <t>14-Class B-1065-1</t>
        </is>
      </c>
      <c r="B13" t="inlineStr">
        <is>
          <t>AltoIRA Custodian FBO Michelle Henriques</t>
        </is>
      </c>
      <c r="C13" t="inlineStr">
        <is>
          <t>Alec Atkinson</t>
        </is>
      </c>
      <c r="D13" s="10" t="n">
        <v>0</v>
      </c>
      <c r="E13" s="10" t="n">
        <v>206861.77</v>
      </c>
      <c r="F13" s="10" t="n">
        <v>6946.34</v>
      </c>
      <c r="G13" s="7" t="n">
        <v>2083.9</v>
      </c>
      <c r="H13" s="10">
        <f>G13*GP_FundMgmt_Pct</f>
        <v/>
      </c>
      <c r="I13" s="10">
        <f>G13*GP_Consultant_Pct</f>
        <v/>
      </c>
      <c r="J13" s="10">
        <f>G13*GP_Raj_Pct</f>
        <v/>
      </c>
      <c r="K13" s="10">
        <f>G13*GP_Nairne_Pct</f>
        <v/>
      </c>
      <c r="L13" s="10">
        <f>G13*GP_Alec_Pct</f>
        <v/>
      </c>
      <c r="M13" s="10">
        <f>ROUND(SUM(H13:L13)-G13, 2)</f>
        <v/>
      </c>
    </row>
    <row r="14">
      <c r="A14" t="inlineStr">
        <is>
          <t>14-Class B-1021-1</t>
        </is>
      </c>
      <c r="B14" t="inlineStr">
        <is>
          <t>Colin Steinberg</t>
        </is>
      </c>
      <c r="C14" t="inlineStr">
        <is>
          <t>Alec Atkinson</t>
        </is>
      </c>
      <c r="D14" s="10" t="n">
        <v>0</v>
      </c>
      <c r="E14" s="10" t="n">
        <v>205186.49</v>
      </c>
      <c r="F14" s="10" t="n">
        <v>6890.08</v>
      </c>
      <c r="G14" s="7" t="n">
        <v>2067.02</v>
      </c>
      <c r="H14" s="10">
        <f>G14*GP_FundMgmt_Pct</f>
        <v/>
      </c>
      <c r="I14" s="10">
        <f>G14*GP_Consultant_Pct</f>
        <v/>
      </c>
      <c r="J14" s="10">
        <f>G14*GP_Raj_Pct</f>
        <v/>
      </c>
      <c r="K14" s="10">
        <f>G14*GP_Nairne_Pct</f>
        <v/>
      </c>
      <c r="L14" s="10">
        <f>G14*GP_Alec_Pct</f>
        <v/>
      </c>
      <c r="M14" s="10">
        <f>ROUND(SUM(H14:L14)-G14, 2)</f>
        <v/>
      </c>
    </row>
    <row r="15">
      <c r="A15" t="inlineStr">
        <is>
          <t>14-Class B-1076-1</t>
        </is>
      </c>
      <c r="B15" t="inlineStr">
        <is>
          <t>Philippe Henriques</t>
        </is>
      </c>
      <c r="C15" t="inlineStr">
        <is>
          <t>Alec Atkinson</t>
        </is>
      </c>
      <c r="D15" s="10" t="n">
        <v>0</v>
      </c>
      <c r="E15" s="10" t="n">
        <v>188159.19</v>
      </c>
      <c r="F15" s="10" t="n">
        <v>6318.31</v>
      </c>
      <c r="G15" s="7" t="n">
        <v>1895.49</v>
      </c>
      <c r="H15" s="10">
        <f>G15*GP_FundMgmt_Pct</f>
        <v/>
      </c>
      <c r="I15" s="10">
        <f>G15*GP_Consultant_Pct</f>
        <v/>
      </c>
      <c r="J15" s="10">
        <f>G15*GP_Raj_Pct</f>
        <v/>
      </c>
      <c r="K15" s="10">
        <f>G15*GP_Nairne_Pct</f>
        <v/>
      </c>
      <c r="L15" s="10">
        <f>G15*GP_Alec_Pct</f>
        <v/>
      </c>
      <c r="M15" s="10">
        <f>ROUND(SUM(H15:L15)-G15, 2)</f>
        <v/>
      </c>
    </row>
    <row r="16">
      <c r="A16" t="inlineStr">
        <is>
          <t>14-Class B-1003-1</t>
        </is>
      </c>
      <c r="B16" t="inlineStr">
        <is>
          <t>Benjamin Smith</t>
        </is>
      </c>
      <c r="C16" t="inlineStr">
        <is>
          <t>Alec Atkinson</t>
        </is>
      </c>
      <c r="D16" s="10" t="n">
        <v>0</v>
      </c>
      <c r="E16" s="10" t="n">
        <v>181498.82</v>
      </c>
      <c r="F16" s="10" t="n">
        <v>6094.66</v>
      </c>
      <c r="G16" s="7" t="n">
        <v>1828.4</v>
      </c>
      <c r="H16" s="10">
        <f>G16*GP_FundMgmt_Pct</f>
        <v/>
      </c>
      <c r="I16" s="10">
        <f>G16*GP_Consultant_Pct</f>
        <v/>
      </c>
      <c r="J16" s="10">
        <f>G16*GP_Raj_Pct</f>
        <v/>
      </c>
      <c r="K16" s="10">
        <f>G16*GP_Nairne_Pct</f>
        <v/>
      </c>
      <c r="L16" s="10">
        <f>G16*GP_Alec_Pct</f>
        <v/>
      </c>
      <c r="M16" s="10">
        <f>ROUND(SUM(H16:L16)-G16, 2)</f>
        <v/>
      </c>
    </row>
    <row r="17">
      <c r="A17" t="inlineStr">
        <is>
          <t>14-Class B-1007-1</t>
        </is>
      </c>
      <c r="B17" t="inlineStr">
        <is>
          <t>Yan Purba</t>
        </is>
      </c>
      <c r="C17" t="inlineStr">
        <is>
          <t>Jake Gordon</t>
        </is>
      </c>
      <c r="D17" s="10" t="n">
        <v>0</v>
      </c>
      <c r="E17" s="10" t="n">
        <v>167373.38</v>
      </c>
      <c r="F17" s="10" t="n">
        <v>5620.33</v>
      </c>
      <c r="G17" s="7" t="n">
        <v>1686.1</v>
      </c>
      <c r="H17" s="10">
        <f>G17*GP_FundMgmt_Pct</f>
        <v/>
      </c>
      <c r="I17" s="10">
        <f>G17*GP_Consultant_Pct</f>
        <v/>
      </c>
      <c r="J17" s="10">
        <f>G17*GP_Raj_Pct</f>
        <v/>
      </c>
      <c r="K17" s="10">
        <f>G17*GP_Nairne_Pct</f>
        <v/>
      </c>
      <c r="L17" s="10">
        <f>G17*GP_Alec_Pct</f>
        <v/>
      </c>
      <c r="M17" s="10">
        <f>ROUND(SUM(H17:L17)-G17, 2)</f>
        <v/>
      </c>
    </row>
    <row r="18">
      <c r="A18" t="inlineStr">
        <is>
          <t>14-Class B-1026-1</t>
        </is>
      </c>
      <c r="B18" t="inlineStr">
        <is>
          <t>AltoIRA Custodian FBO Marcus Whitney</t>
        </is>
      </c>
      <c r="C18" t="inlineStr">
        <is>
          <t>Alec Atkinson</t>
        </is>
      </c>
      <c r="D18" s="10" t="n">
        <v>0</v>
      </c>
      <c r="E18" s="10" t="n">
        <v>155614.84</v>
      </c>
      <c r="F18" s="10" t="n">
        <v>5225.49</v>
      </c>
      <c r="G18" s="7" t="n">
        <v>1567.65</v>
      </c>
      <c r="H18" s="10">
        <f>G18*GP_FundMgmt_Pct</f>
        <v/>
      </c>
      <c r="I18" s="10">
        <f>G18*GP_Consultant_Pct</f>
        <v/>
      </c>
      <c r="J18" s="10">
        <f>G18*GP_Raj_Pct</f>
        <v/>
      </c>
      <c r="K18" s="10">
        <f>G18*GP_Nairne_Pct</f>
        <v/>
      </c>
      <c r="L18" s="10">
        <f>G18*GP_Alec_Pct</f>
        <v/>
      </c>
      <c r="M18" s="10">
        <f>ROUND(SUM(H18:L18)-G18, 2)</f>
        <v/>
      </c>
    </row>
    <row r="19">
      <c r="A19" t="inlineStr">
        <is>
          <t>14-Class B-1073-1</t>
        </is>
      </c>
      <c r="B19" t="inlineStr">
        <is>
          <t>PGJCHoldings LLC</t>
        </is>
      </c>
      <c r="C19" t="inlineStr">
        <is>
          <t>Alec Atkinson</t>
        </is>
      </c>
      <c r="D19" s="10" t="n">
        <v>0</v>
      </c>
      <c r="E19" s="10" t="n">
        <v>153610.73</v>
      </c>
      <c r="F19" s="10" t="n">
        <v>5158.19</v>
      </c>
      <c r="G19" s="7" t="n">
        <v>1547.46</v>
      </c>
      <c r="H19" s="10">
        <f>G19*GP_FundMgmt_Pct</f>
        <v/>
      </c>
      <c r="I19" s="10">
        <f>G19*GP_Consultant_Pct</f>
        <v/>
      </c>
      <c r="J19" s="10">
        <f>G19*GP_Raj_Pct</f>
        <v/>
      </c>
      <c r="K19" s="10">
        <f>G19*GP_Nairne_Pct</f>
        <v/>
      </c>
      <c r="L19" s="10">
        <f>G19*GP_Alec_Pct</f>
        <v/>
      </c>
      <c r="M19" s="10">
        <f>ROUND(SUM(H19:L19)-G19, 2)</f>
        <v/>
      </c>
    </row>
    <row r="20">
      <c r="A20" t="inlineStr">
        <is>
          <t>14-Class B-1023-1</t>
        </is>
      </c>
      <c r="B20" t="inlineStr">
        <is>
          <t>Douglas Wilcox and Miles Wesley Wilcox</t>
        </is>
      </c>
      <c r="C20" t="inlineStr">
        <is>
          <t>Alec Atkinson</t>
        </is>
      </c>
      <c r="D20" s="10" t="n">
        <v>0</v>
      </c>
      <c r="E20" s="10" t="n">
        <v>149013.12</v>
      </c>
      <c r="F20" s="10" t="n">
        <v>5003.8</v>
      </c>
      <c r="G20" s="7" t="n">
        <v>1501.14</v>
      </c>
      <c r="H20" s="10">
        <f>G20*GP_FundMgmt_Pct</f>
        <v/>
      </c>
      <c r="I20" s="10">
        <f>G20*GP_Consultant_Pct</f>
        <v/>
      </c>
      <c r="J20" s="10">
        <f>G20*GP_Raj_Pct</f>
        <v/>
      </c>
      <c r="K20" s="10">
        <f>G20*GP_Nairne_Pct</f>
        <v/>
      </c>
      <c r="L20" s="10">
        <f>G20*GP_Alec_Pct</f>
        <v/>
      </c>
      <c r="M20" s="10">
        <f>ROUND(SUM(H20:L20)-G20, 2)</f>
        <v/>
      </c>
    </row>
    <row r="21">
      <c r="A21" t="inlineStr">
        <is>
          <t>14-Class B-1030-1</t>
        </is>
      </c>
      <c r="B21" t="inlineStr">
        <is>
          <t>Platte River Holdings LLC</t>
        </is>
      </c>
      <c r="C21" t="inlineStr">
        <is>
          <t>Alec Atkinson</t>
        </is>
      </c>
      <c r="D21" s="10" t="n">
        <v>0</v>
      </c>
      <c r="E21" s="10" t="n">
        <v>131452.82</v>
      </c>
      <c r="F21" s="10" t="n">
        <v>4414.13</v>
      </c>
      <c r="G21" s="7" t="n">
        <v>1324.24</v>
      </c>
      <c r="H21" s="10">
        <f>G21*GP_FundMgmt_Pct</f>
        <v/>
      </c>
      <c r="I21" s="10">
        <f>G21*GP_Consultant_Pct</f>
        <v/>
      </c>
      <c r="J21" s="10">
        <f>G21*GP_Raj_Pct</f>
        <v/>
      </c>
      <c r="K21" s="10">
        <f>G21*GP_Nairne_Pct</f>
        <v/>
      </c>
      <c r="L21" s="10">
        <f>G21*GP_Alec_Pct</f>
        <v/>
      </c>
      <c r="M21" s="10">
        <f>ROUND(SUM(H21:L21)-G21, 2)</f>
        <v/>
      </c>
    </row>
    <row r="22">
      <c r="A22" t="inlineStr">
        <is>
          <t>14-Class B-1067-1</t>
        </is>
      </c>
      <c r="B22" t="inlineStr">
        <is>
          <t>Joshua W Miller and Brooke G Miller</t>
        </is>
      </c>
      <c r="C22" t="inlineStr">
        <is>
          <t>Jake Gordon</t>
        </is>
      </c>
      <c r="D22" s="10" t="n">
        <v>0</v>
      </c>
      <c r="E22" s="10" t="n">
        <v>124076.49</v>
      </c>
      <c r="F22" s="10" t="n">
        <v>4166.44</v>
      </c>
      <c r="G22" s="7" t="n">
        <v>1249.93</v>
      </c>
      <c r="H22" s="10">
        <f>G22*GP_FundMgmt_Pct</f>
        <v/>
      </c>
      <c r="I22" s="10">
        <f>G22*GP_Consultant_Pct</f>
        <v/>
      </c>
      <c r="J22" s="10">
        <f>G22*GP_Raj_Pct</f>
        <v/>
      </c>
      <c r="K22" s="10">
        <f>G22*GP_Nairne_Pct</f>
        <v/>
      </c>
      <c r="L22" s="10">
        <f>G22*GP_Alec_Pct</f>
        <v/>
      </c>
      <c r="M22" s="10">
        <f>ROUND(SUM(H22:L22)-G22, 2)</f>
        <v/>
      </c>
    </row>
    <row r="23">
      <c r="A23" t="inlineStr">
        <is>
          <t>14-Class B-1019-1</t>
        </is>
      </c>
      <c r="B23" t="inlineStr">
        <is>
          <t>Fred Gorges</t>
        </is>
      </c>
      <c r="C23" t="inlineStr">
        <is>
          <t>Alec Atkinson</t>
        </is>
      </c>
      <c r="D23" s="10" t="n">
        <v>0</v>
      </c>
      <c r="E23" s="10" t="n">
        <v>120660.73</v>
      </c>
      <c r="F23" s="10" t="n">
        <v>4051.74</v>
      </c>
      <c r="G23" s="7" t="n">
        <v>1215.52</v>
      </c>
      <c r="H23" s="10">
        <f>G23*GP_FundMgmt_Pct</f>
        <v/>
      </c>
      <c r="I23" s="10">
        <f>G23*GP_Consultant_Pct</f>
        <v/>
      </c>
      <c r="J23" s="10">
        <f>G23*GP_Raj_Pct</f>
        <v/>
      </c>
      <c r="K23" s="10">
        <f>G23*GP_Nairne_Pct</f>
        <v/>
      </c>
      <c r="L23" s="10">
        <f>G23*GP_Alec_Pct</f>
        <v/>
      </c>
      <c r="M23" s="10">
        <f>ROUND(SUM(H23:L23)-G23, 2)</f>
        <v/>
      </c>
    </row>
    <row r="24">
      <c r="A24" t="inlineStr">
        <is>
          <t>14-Class B-1018-1</t>
        </is>
      </c>
      <c r="B24" t="inlineStr">
        <is>
          <t>Bryce Dee Christensen</t>
        </is>
      </c>
      <c r="C24" t="inlineStr">
        <is>
          <t>Alec Atkinson</t>
        </is>
      </c>
      <c r="D24" s="10" t="n">
        <v>0</v>
      </c>
      <c r="E24" s="10" t="n">
        <v>117281.71</v>
      </c>
      <c r="F24" s="10" t="n">
        <v>3938.27</v>
      </c>
      <c r="G24" s="7" t="n">
        <v>1181.48</v>
      </c>
      <c r="H24" s="10">
        <f>G24*GP_FundMgmt_Pct</f>
        <v/>
      </c>
      <c r="I24" s="10">
        <f>G24*GP_Consultant_Pct</f>
        <v/>
      </c>
      <c r="J24" s="10">
        <f>G24*GP_Raj_Pct</f>
        <v/>
      </c>
      <c r="K24" s="10">
        <f>G24*GP_Nairne_Pct</f>
        <v/>
      </c>
      <c r="L24" s="10">
        <f>G24*GP_Alec_Pct</f>
        <v/>
      </c>
      <c r="M24" s="10">
        <f>ROUND(SUM(H24:L24)-G24, 2)</f>
        <v/>
      </c>
    </row>
    <row r="25">
      <c r="A25" t="inlineStr">
        <is>
          <t>14-Class B-1011-1</t>
        </is>
      </c>
      <c r="B25" t="inlineStr">
        <is>
          <t>David Anderson</t>
        </is>
      </c>
      <c r="C25" t="inlineStr">
        <is>
          <t>Alec Atkinson</t>
        </is>
      </c>
      <c r="D25" s="10" t="n">
        <v>0</v>
      </c>
      <c r="E25" s="10" t="n">
        <v>117028.98</v>
      </c>
      <c r="F25" s="10" t="n">
        <v>3929.79</v>
      </c>
      <c r="G25" s="7" t="n">
        <v>1178.94</v>
      </c>
      <c r="H25" s="10">
        <f>G25*GP_FundMgmt_Pct</f>
        <v/>
      </c>
      <c r="I25" s="10">
        <f>G25*GP_Consultant_Pct</f>
        <v/>
      </c>
      <c r="J25" s="10">
        <f>G25*GP_Raj_Pct</f>
        <v/>
      </c>
      <c r="K25" s="10">
        <f>G25*GP_Nairne_Pct</f>
        <v/>
      </c>
      <c r="L25" s="10">
        <f>G25*GP_Alec_Pct</f>
        <v/>
      </c>
      <c r="M25" s="10">
        <f>ROUND(SUM(H25:L25)-G25, 2)</f>
        <v/>
      </c>
    </row>
    <row r="26">
      <c r="A26" t="inlineStr">
        <is>
          <t>14-Class B-1005-1</t>
        </is>
      </c>
      <c r="B26" t="inlineStr">
        <is>
          <t>Madison Trust Company, Custodian FBO David Gordon Affleck M24122132</t>
        </is>
      </c>
      <c r="C26" t="inlineStr">
        <is>
          <t>AJ Affleck</t>
        </is>
      </c>
      <c r="D26" s="10" t="n">
        <v>0</v>
      </c>
      <c r="E26" s="10" t="n">
        <v>115616.76</v>
      </c>
      <c r="F26" s="10" t="n">
        <v>3882.37</v>
      </c>
      <c r="G26" s="7" t="n">
        <v>1164.71</v>
      </c>
      <c r="H26" s="10">
        <f>G26*GP_FundMgmt_Pct</f>
        <v/>
      </c>
      <c r="I26" s="10">
        <f>G26*GP_Consultant_Pct</f>
        <v/>
      </c>
      <c r="J26" s="10">
        <f>G26*GP_Raj_Pct</f>
        <v/>
      </c>
      <c r="K26" s="10">
        <f>G26*GP_Nairne_Pct</f>
        <v/>
      </c>
      <c r="L26" s="10">
        <f>G26*GP_Alec_Pct</f>
        <v/>
      </c>
      <c r="M26" s="10">
        <f>ROUND(SUM(H26:L26)-G26, 2)</f>
        <v/>
      </c>
    </row>
    <row r="27">
      <c r="A27" t="inlineStr">
        <is>
          <t>14-Class B-1014-1</t>
        </is>
      </c>
      <c r="B27" t="inlineStr">
        <is>
          <t>BENIK LLC</t>
        </is>
      </c>
      <c r="C27" t="inlineStr">
        <is>
          <t>Alec Atkinson</t>
        </is>
      </c>
      <c r="D27" s="10" t="n">
        <v>0</v>
      </c>
      <c r="E27" s="10" t="n">
        <v>114834.83</v>
      </c>
      <c r="F27" s="10" t="n">
        <v>3856.11</v>
      </c>
      <c r="G27" s="7" t="n">
        <v>1156.83</v>
      </c>
      <c r="H27" s="10">
        <f>G27*GP_FundMgmt_Pct</f>
        <v/>
      </c>
      <c r="I27" s="10">
        <f>G27*GP_Consultant_Pct</f>
        <v/>
      </c>
      <c r="J27" s="10">
        <f>G27*GP_Raj_Pct</f>
        <v/>
      </c>
      <c r="K27" s="10">
        <f>G27*GP_Nairne_Pct</f>
        <v/>
      </c>
      <c r="L27" s="10">
        <f>G27*GP_Alec_Pct</f>
        <v/>
      </c>
      <c r="M27" s="10">
        <f>ROUND(SUM(H27:L27)-G27, 2)</f>
        <v/>
      </c>
    </row>
    <row r="28">
      <c r="A28" t="inlineStr">
        <is>
          <t>14-Class B-1022-1</t>
        </is>
      </c>
      <c r="B28" t="inlineStr">
        <is>
          <t>John Hudson Taylor Anderson</t>
        </is>
      </c>
      <c r="C28" t="inlineStr">
        <is>
          <t>Alec Atkinson</t>
        </is>
      </c>
      <c r="D28" s="10" t="n">
        <v>0</v>
      </c>
      <c r="E28" s="10" t="n">
        <v>113941.39</v>
      </c>
      <c r="F28" s="10" t="n">
        <v>3826.11</v>
      </c>
      <c r="G28" s="7" t="n">
        <v>1147.83</v>
      </c>
      <c r="H28" s="10">
        <f>G28*GP_FundMgmt_Pct</f>
        <v/>
      </c>
      <c r="I28" s="10">
        <f>G28*GP_Consultant_Pct</f>
        <v/>
      </c>
      <c r="J28" s="10">
        <f>G28*GP_Raj_Pct</f>
        <v/>
      </c>
      <c r="K28" s="10">
        <f>G28*GP_Nairne_Pct</f>
        <v/>
      </c>
      <c r="L28" s="10">
        <f>G28*GP_Alec_Pct</f>
        <v/>
      </c>
      <c r="M28" s="10">
        <f>ROUND(SUM(H28:L28)-G28, 2)</f>
        <v/>
      </c>
    </row>
    <row r="29">
      <c r="A29" t="inlineStr">
        <is>
          <t>14-Class B-1031-1</t>
        </is>
      </c>
      <c r="B29" t="inlineStr">
        <is>
          <t>Jerry Dwayne Fussell</t>
        </is>
      </c>
      <c r="C29" t="inlineStr">
        <is>
          <t>Alec Atkinson</t>
        </is>
      </c>
      <c r="D29" s="10" t="n">
        <v>0</v>
      </c>
      <c r="E29" s="10" t="n">
        <v>113327.33</v>
      </c>
      <c r="F29" s="10" t="n">
        <v>3805.49</v>
      </c>
      <c r="G29" s="7" t="n">
        <v>1141.65</v>
      </c>
      <c r="H29" s="10">
        <f>G29*GP_FundMgmt_Pct</f>
        <v/>
      </c>
      <c r="I29" s="10">
        <f>G29*GP_Consultant_Pct</f>
        <v/>
      </c>
      <c r="J29" s="10">
        <f>G29*GP_Raj_Pct</f>
        <v/>
      </c>
      <c r="K29" s="10">
        <f>G29*GP_Nairne_Pct</f>
        <v/>
      </c>
      <c r="L29" s="10">
        <f>G29*GP_Alec_Pct</f>
        <v/>
      </c>
      <c r="M29" s="10">
        <f>ROUND(SUM(H29:L29)-G29, 2)</f>
        <v/>
      </c>
    </row>
    <row r="30">
      <c r="A30" t="inlineStr">
        <is>
          <t>14-Class B-1032-1</t>
        </is>
      </c>
      <c r="B30" t="inlineStr">
        <is>
          <t>Ten Eighty Trading LLC</t>
        </is>
      </c>
      <c r="C30" t="inlineStr">
        <is>
          <t>Alec Atkinson</t>
        </is>
      </c>
      <c r="D30" s="10" t="n">
        <v>0</v>
      </c>
      <c r="E30" s="10" t="n">
        <v>113327.33</v>
      </c>
      <c r="F30" s="10" t="n">
        <v>3805.49</v>
      </c>
      <c r="G30" s="7" t="n">
        <v>1141.65</v>
      </c>
      <c r="H30" s="10">
        <f>G30*GP_FundMgmt_Pct</f>
        <v/>
      </c>
      <c r="I30" s="10">
        <f>G30*GP_Consultant_Pct</f>
        <v/>
      </c>
      <c r="J30" s="10">
        <f>G30*GP_Raj_Pct</f>
        <v/>
      </c>
      <c r="K30" s="10">
        <f>G30*GP_Nairne_Pct</f>
        <v/>
      </c>
      <c r="L30" s="10">
        <f>G30*GP_Alec_Pct</f>
        <v/>
      </c>
      <c r="M30" s="10">
        <f>ROUND(SUM(H30:L30)-G30, 2)</f>
        <v/>
      </c>
    </row>
    <row r="31">
      <c r="A31" t="inlineStr">
        <is>
          <t>14-Class B-1036-1</t>
        </is>
      </c>
      <c r="B31" t="inlineStr">
        <is>
          <t>Caleb Andrew Cupp</t>
        </is>
      </c>
      <c r="C31" t="inlineStr">
        <is>
          <t>Alec Atkinson</t>
        </is>
      </c>
      <c r="D31" s="10" t="n">
        <v>0</v>
      </c>
      <c r="E31" s="10" t="n">
        <v>112365.21</v>
      </c>
      <c r="F31" s="10" t="n">
        <v>3773.18</v>
      </c>
      <c r="G31" s="7" t="n">
        <v>1131.95</v>
      </c>
      <c r="H31" s="10">
        <f>G31*GP_FundMgmt_Pct</f>
        <v/>
      </c>
      <c r="I31" s="10">
        <f>G31*GP_Consultant_Pct</f>
        <v/>
      </c>
      <c r="J31" s="10">
        <f>G31*GP_Raj_Pct</f>
        <v/>
      </c>
      <c r="K31" s="10">
        <f>G31*GP_Nairne_Pct</f>
        <v/>
      </c>
      <c r="L31" s="10">
        <f>G31*GP_Alec_Pct</f>
        <v/>
      </c>
      <c r="M31" s="10">
        <f>ROUND(SUM(H31:L31)-G31, 2)</f>
        <v/>
      </c>
    </row>
    <row r="32">
      <c r="A32" t="inlineStr">
        <is>
          <t>14-Class B-1035-1</t>
        </is>
      </c>
      <c r="B32" t="inlineStr">
        <is>
          <t>Scott Gordon and Tiffany Dyer Gordon</t>
        </is>
      </c>
      <c r="C32" t="inlineStr">
        <is>
          <t>Jake Gordon</t>
        </is>
      </c>
      <c r="D32" s="10" t="n">
        <v>0</v>
      </c>
      <c r="E32" s="10" t="n">
        <v>112363.57</v>
      </c>
      <c r="F32" s="10" t="n">
        <v>3773.12</v>
      </c>
      <c r="G32" s="7" t="n">
        <v>1131.94</v>
      </c>
      <c r="H32" s="10">
        <f>G32*GP_FundMgmt_Pct</f>
        <v/>
      </c>
      <c r="I32" s="10">
        <f>G32*GP_Consultant_Pct</f>
        <v/>
      </c>
      <c r="J32" s="10">
        <f>G32*GP_Raj_Pct</f>
        <v/>
      </c>
      <c r="K32" s="10">
        <f>G32*GP_Nairne_Pct</f>
        <v/>
      </c>
      <c r="L32" s="10">
        <f>G32*GP_Alec_Pct</f>
        <v/>
      </c>
      <c r="M32" s="10">
        <f>ROUND(SUM(H32:L32)-G32, 2)</f>
        <v/>
      </c>
    </row>
    <row r="33">
      <c r="A33" t="inlineStr">
        <is>
          <t>14-Class B-1053-1</t>
        </is>
      </c>
      <c r="B33" t="inlineStr">
        <is>
          <t>MATTHEW AND MELINDA WILLIAMS CHARITABLE REMAINDER UNITRUST</t>
        </is>
      </c>
      <c r="C33" t="inlineStr">
        <is>
          <t>Alec Atkinson</t>
        </is>
      </c>
      <c r="D33" s="10" t="n">
        <v>0</v>
      </c>
      <c r="E33" s="10" t="n">
        <v>111426.88</v>
      </c>
      <c r="F33" s="10" t="n">
        <v>3741.67</v>
      </c>
      <c r="G33" s="7" t="n">
        <v>1122.5</v>
      </c>
      <c r="H33" s="10">
        <f>G33*GP_FundMgmt_Pct</f>
        <v/>
      </c>
      <c r="I33" s="10">
        <f>G33*GP_Consultant_Pct</f>
        <v/>
      </c>
      <c r="J33" s="10">
        <f>G33*GP_Raj_Pct</f>
        <v/>
      </c>
      <c r="K33" s="10">
        <f>G33*GP_Nairne_Pct</f>
        <v/>
      </c>
      <c r="L33" s="10">
        <f>G33*GP_Alec_Pct</f>
        <v/>
      </c>
      <c r="M33" s="10">
        <f>ROUND(SUM(H33:L33)-G33, 2)</f>
        <v/>
      </c>
    </row>
    <row r="34">
      <c r="A34" t="inlineStr">
        <is>
          <t>14-Class B-1055-1</t>
        </is>
      </c>
      <c r="B34" t="inlineStr">
        <is>
          <t>Sean D. Reyes</t>
        </is>
      </c>
      <c r="C34" t="inlineStr">
        <is>
          <t>Jake Gordon</t>
        </is>
      </c>
      <c r="D34" s="10" t="n">
        <v>0</v>
      </c>
      <c r="E34" s="10" t="n">
        <v>111426.88</v>
      </c>
      <c r="F34" s="10" t="n">
        <v>3741.67</v>
      </c>
      <c r="G34" s="7" t="n">
        <v>1122.5</v>
      </c>
      <c r="H34" s="10">
        <f>G34*GP_FundMgmt_Pct</f>
        <v/>
      </c>
      <c r="I34" s="10">
        <f>G34*GP_Consultant_Pct</f>
        <v/>
      </c>
      <c r="J34" s="10">
        <f>G34*GP_Raj_Pct</f>
        <v/>
      </c>
      <c r="K34" s="10">
        <f>G34*GP_Nairne_Pct</f>
        <v/>
      </c>
      <c r="L34" s="10">
        <f>G34*GP_Alec_Pct</f>
        <v/>
      </c>
      <c r="M34" s="10">
        <f>ROUND(SUM(H34:L34)-G34, 2)</f>
        <v/>
      </c>
    </row>
    <row r="35">
      <c r="A35" t="inlineStr">
        <is>
          <t>14-Class B-1058-1</t>
        </is>
      </c>
      <c r="B35" t="inlineStr">
        <is>
          <t>PL Investment Group, LLC</t>
        </is>
      </c>
      <c r="C35" t="inlineStr">
        <is>
          <t>Alec Atkinson</t>
        </is>
      </c>
      <c r="D35" s="10" t="n">
        <v>0</v>
      </c>
      <c r="E35" s="10" t="n">
        <v>109650.6</v>
      </c>
      <c r="F35" s="10" t="n">
        <v>3682.02</v>
      </c>
      <c r="G35" s="7" t="n">
        <v>1104.61</v>
      </c>
      <c r="H35" s="10">
        <f>G35*GP_FundMgmt_Pct</f>
        <v/>
      </c>
      <c r="I35" s="10">
        <f>G35*GP_Consultant_Pct</f>
        <v/>
      </c>
      <c r="J35" s="10">
        <f>G35*GP_Raj_Pct</f>
        <v/>
      </c>
      <c r="K35" s="10">
        <f>G35*GP_Nairne_Pct</f>
        <v/>
      </c>
      <c r="L35" s="10">
        <f>G35*GP_Alec_Pct</f>
        <v/>
      </c>
      <c r="M35" s="10">
        <f>ROUND(SUM(H35:L35)-G35, 2)</f>
        <v/>
      </c>
    </row>
    <row r="36">
      <c r="A36" t="inlineStr">
        <is>
          <t>14-Class B-1061-1</t>
        </is>
      </c>
      <c r="B36" t="inlineStr">
        <is>
          <t>Craig Levinson</t>
        </is>
      </c>
      <c r="C36" t="inlineStr">
        <is>
          <t>AJ Affleck</t>
        </is>
      </c>
      <c r="D36" s="10" t="n">
        <v>0</v>
      </c>
      <c r="E36" s="10" t="n">
        <v>109173.32</v>
      </c>
      <c r="F36" s="10" t="n">
        <v>3666</v>
      </c>
      <c r="G36" s="7" t="n">
        <v>1099.8</v>
      </c>
      <c r="H36" s="10">
        <f>G36*GP_FundMgmt_Pct</f>
        <v/>
      </c>
      <c r="I36" s="10">
        <f>G36*GP_Consultant_Pct</f>
        <v/>
      </c>
      <c r="J36" s="10">
        <f>G36*GP_Raj_Pct</f>
        <v/>
      </c>
      <c r="K36" s="10">
        <f>G36*GP_Nairne_Pct</f>
        <v/>
      </c>
      <c r="L36" s="10">
        <f>G36*GP_Alec_Pct</f>
        <v/>
      </c>
      <c r="M36" s="10">
        <f>ROUND(SUM(H36:L36)-G36, 2)</f>
        <v/>
      </c>
    </row>
    <row r="37">
      <c r="A37" t="inlineStr">
        <is>
          <t>14-Class B-1060-1</t>
        </is>
      </c>
      <c r="B37" t="inlineStr">
        <is>
          <t>Daniel Welch Kirkham</t>
        </is>
      </c>
      <c r="C37" t="inlineStr">
        <is>
          <t>Luke</t>
        </is>
      </c>
      <c r="D37" s="10" t="n">
        <v>0</v>
      </c>
      <c r="E37" s="10" t="n">
        <v>109123.67</v>
      </c>
      <c r="F37" s="10" t="n">
        <v>3664.33</v>
      </c>
      <c r="G37" s="7" t="n">
        <v>1099.3</v>
      </c>
      <c r="H37" s="10">
        <f>G37*GP_FundMgmt_Pct</f>
        <v/>
      </c>
      <c r="I37" s="10">
        <f>G37*GP_Consultant_Pct</f>
        <v/>
      </c>
      <c r="J37" s="10">
        <f>G37*GP_Raj_Pct</f>
        <v/>
      </c>
      <c r="K37" s="10">
        <f>G37*GP_Nairne_Pct</f>
        <v/>
      </c>
      <c r="L37" s="10">
        <f>G37*GP_Alec_Pct</f>
        <v/>
      </c>
      <c r="M37" s="10">
        <f>ROUND(SUM(H37:L37)-G37, 2)</f>
        <v/>
      </c>
    </row>
    <row r="38">
      <c r="A38" t="inlineStr">
        <is>
          <t>14-Class B-1059-1</t>
        </is>
      </c>
      <c r="B38" t="inlineStr">
        <is>
          <t>John Charles Kirkham</t>
        </is>
      </c>
      <c r="C38" t="inlineStr">
        <is>
          <t>AJ Affleck</t>
        </is>
      </c>
      <c r="D38" s="10" t="n">
        <v>0</v>
      </c>
      <c r="E38" s="10" t="n">
        <v>109123.67</v>
      </c>
      <c r="F38" s="10" t="n">
        <v>3664.33</v>
      </c>
      <c r="G38" s="7" t="n">
        <v>1099.3</v>
      </c>
      <c r="H38" s="10">
        <f>G38*GP_FundMgmt_Pct</f>
        <v/>
      </c>
      <c r="I38" s="10">
        <f>G38*GP_Consultant_Pct</f>
        <v/>
      </c>
      <c r="J38" s="10">
        <f>G38*GP_Raj_Pct</f>
        <v/>
      </c>
      <c r="K38" s="10">
        <f>G38*GP_Nairne_Pct</f>
        <v/>
      </c>
      <c r="L38" s="10">
        <f>G38*GP_Alec_Pct</f>
        <v/>
      </c>
      <c r="M38" s="10">
        <f>ROUND(SUM(H38:L38)-G38, 2)</f>
        <v/>
      </c>
    </row>
    <row r="39">
      <c r="A39" t="inlineStr">
        <is>
          <t>14-Class B-1064-1</t>
        </is>
      </c>
      <c r="B39" t="inlineStr">
        <is>
          <t>Advanta Trust Company Inc. FBO Shreekanth Karwande IRA 1522282</t>
        </is>
      </c>
      <c r="C39" t="inlineStr">
        <is>
          <t>Luke</t>
        </is>
      </c>
      <c r="D39" s="10" t="n">
        <v>0</v>
      </c>
      <c r="E39" s="10" t="n">
        <v>108565.29</v>
      </c>
      <c r="F39" s="10" t="n">
        <v>3645.58</v>
      </c>
      <c r="G39" s="7" t="n">
        <v>1093.67</v>
      </c>
      <c r="H39" s="10">
        <f>G39*GP_FundMgmt_Pct</f>
        <v/>
      </c>
      <c r="I39" s="10">
        <f>G39*GP_Consultant_Pct</f>
        <v/>
      </c>
      <c r="J39" s="10">
        <f>G39*GP_Raj_Pct</f>
        <v/>
      </c>
      <c r="K39" s="10">
        <f>G39*GP_Nairne_Pct</f>
        <v/>
      </c>
      <c r="L39" s="10">
        <f>G39*GP_Alec_Pct</f>
        <v/>
      </c>
      <c r="M39" s="10">
        <f>ROUND(SUM(H39:L39)-G39, 2)</f>
        <v/>
      </c>
    </row>
    <row r="40">
      <c r="A40" t="inlineStr">
        <is>
          <t>14-Class B-1037-1</t>
        </is>
      </c>
      <c r="B40" t="inlineStr">
        <is>
          <t>James Lockhart</t>
        </is>
      </c>
      <c r="C40" t="inlineStr">
        <is>
          <t>Alec Atkinson</t>
        </is>
      </c>
      <c r="D40" s="10" t="n">
        <v>0</v>
      </c>
      <c r="E40" s="10" t="n">
        <v>104520.17</v>
      </c>
      <c r="F40" s="10" t="n">
        <v>3509.75</v>
      </c>
      <c r="G40" s="7" t="n">
        <v>1052.92</v>
      </c>
      <c r="H40" s="10">
        <f>G40*GP_FundMgmt_Pct</f>
        <v/>
      </c>
      <c r="I40" s="10">
        <f>G40*GP_Consultant_Pct</f>
        <v/>
      </c>
      <c r="J40" s="10">
        <f>G40*GP_Raj_Pct</f>
        <v/>
      </c>
      <c r="K40" s="10">
        <f>G40*GP_Nairne_Pct</f>
        <v/>
      </c>
      <c r="L40" s="10">
        <f>G40*GP_Alec_Pct</f>
        <v/>
      </c>
      <c r="M40" s="10">
        <f>ROUND(SUM(H40:L40)-G40, 2)</f>
        <v/>
      </c>
    </row>
    <row r="41">
      <c r="A41" t="inlineStr">
        <is>
          <t>14-Class B-1063-1</t>
        </is>
      </c>
      <c r="B41" t="inlineStr">
        <is>
          <t>Lyman Phillips</t>
        </is>
      </c>
      <c r="C41" t="inlineStr">
        <is>
          <t>Alec Atkinson</t>
        </is>
      </c>
      <c r="D41" s="10" t="n">
        <v>0</v>
      </c>
      <c r="E41" s="10" t="n">
        <v>103481.71</v>
      </c>
      <c r="F41" s="10" t="n">
        <v>3474.88</v>
      </c>
      <c r="G41" s="7" t="n">
        <v>1042.46</v>
      </c>
      <c r="H41" s="10">
        <f>G41*GP_FundMgmt_Pct</f>
        <v/>
      </c>
      <c r="I41" s="10">
        <f>G41*GP_Consultant_Pct</f>
        <v/>
      </c>
      <c r="J41" s="10">
        <f>G41*GP_Raj_Pct</f>
        <v/>
      </c>
      <c r="K41" s="10">
        <f>G41*GP_Nairne_Pct</f>
        <v/>
      </c>
      <c r="L41" s="10">
        <f>G41*GP_Alec_Pct</f>
        <v/>
      </c>
      <c r="M41" s="10">
        <f>ROUND(SUM(H41:L41)-G41, 2)</f>
        <v/>
      </c>
    </row>
    <row r="42">
      <c r="A42" t="inlineStr">
        <is>
          <t>14-Class B-1062-1</t>
        </is>
      </c>
      <c r="B42" t="inlineStr">
        <is>
          <t>Lori Brennan</t>
        </is>
      </c>
      <c r="C42" t="inlineStr">
        <is>
          <t>Alec Atkinson</t>
        </is>
      </c>
      <c r="D42" s="10" t="n">
        <v>0</v>
      </c>
      <c r="E42" s="10" t="n">
        <v>103430.88</v>
      </c>
      <c r="F42" s="10" t="n">
        <v>3473.17</v>
      </c>
      <c r="G42" s="7" t="n">
        <v>1041.95</v>
      </c>
      <c r="H42" s="10">
        <f>G42*GP_FundMgmt_Pct</f>
        <v/>
      </c>
      <c r="I42" s="10">
        <f>G42*GP_Consultant_Pct</f>
        <v/>
      </c>
      <c r="J42" s="10">
        <f>G42*GP_Raj_Pct</f>
        <v/>
      </c>
      <c r="K42" s="10">
        <f>G42*GP_Nairne_Pct</f>
        <v/>
      </c>
      <c r="L42" s="10">
        <f>G42*GP_Alec_Pct</f>
        <v/>
      </c>
      <c r="M42" s="10">
        <f>ROUND(SUM(H42:L42)-G42, 2)</f>
        <v/>
      </c>
    </row>
    <row r="43">
      <c r="A43" t="inlineStr">
        <is>
          <t>14-Class B-1066-1</t>
        </is>
      </c>
      <c r="B43" t="inlineStr">
        <is>
          <t>Brandy and Adam Fisher</t>
        </is>
      </c>
      <c r="C43" t="inlineStr">
        <is>
          <t>Alec Atkinson</t>
        </is>
      </c>
      <c r="D43" s="10" t="n">
        <v>0</v>
      </c>
      <c r="E43" s="10" t="n">
        <v>103412.44</v>
      </c>
      <c r="F43" s="10" t="n">
        <v>3472.55</v>
      </c>
      <c r="G43" s="7" t="n">
        <v>1041.76</v>
      </c>
      <c r="H43" s="10">
        <f>G43*GP_FundMgmt_Pct</f>
        <v/>
      </c>
      <c r="I43" s="10">
        <f>G43*GP_Consultant_Pct</f>
        <v/>
      </c>
      <c r="J43" s="10">
        <f>G43*GP_Raj_Pct</f>
        <v/>
      </c>
      <c r="K43" s="10">
        <f>G43*GP_Nairne_Pct</f>
        <v/>
      </c>
      <c r="L43" s="10">
        <f>G43*GP_Alec_Pct</f>
        <v/>
      </c>
      <c r="M43" s="10">
        <f>ROUND(SUM(H43:L43)-G43, 2)</f>
        <v/>
      </c>
    </row>
    <row r="44">
      <c r="A44" t="inlineStr">
        <is>
          <t>14-Class B-1072-1</t>
        </is>
      </c>
      <c r="B44" t="inlineStr">
        <is>
          <t>Mashirito LLC</t>
        </is>
      </c>
      <c r="C44" t="inlineStr">
        <is>
          <t>Alec Atkinson</t>
        </is>
      </c>
      <c r="D44" s="10" t="n">
        <v>0</v>
      </c>
      <c r="E44" s="10" t="n">
        <v>102407.15</v>
      </c>
      <c r="F44" s="10" t="n">
        <v>3438.79</v>
      </c>
      <c r="G44" s="7" t="n">
        <v>1031.64</v>
      </c>
      <c r="H44" s="10">
        <f>G44*GP_FundMgmt_Pct</f>
        <v/>
      </c>
      <c r="I44" s="10">
        <f>G44*GP_Consultant_Pct</f>
        <v/>
      </c>
      <c r="J44" s="10">
        <f>G44*GP_Raj_Pct</f>
        <v/>
      </c>
      <c r="K44" s="10">
        <f>G44*GP_Nairne_Pct</f>
        <v/>
      </c>
      <c r="L44" s="10">
        <f>G44*GP_Alec_Pct</f>
        <v/>
      </c>
      <c r="M44" s="10">
        <f>ROUND(SUM(H44:L44)-G44, 2)</f>
        <v/>
      </c>
    </row>
    <row r="45">
      <c r="A45" t="inlineStr">
        <is>
          <t>14-Class B-1068-1</t>
        </is>
      </c>
      <c r="B45" t="inlineStr">
        <is>
          <t>Weston Shea Christensen</t>
        </is>
      </c>
      <c r="C45" t="inlineStr">
        <is>
          <t>Alec Atkinson</t>
        </is>
      </c>
      <c r="D45" s="10" t="n">
        <v>0</v>
      </c>
      <c r="E45" s="10" t="n">
        <v>102407.15</v>
      </c>
      <c r="F45" s="10" t="n">
        <v>3438.79</v>
      </c>
      <c r="G45" s="7" t="n">
        <v>1031.64</v>
      </c>
      <c r="H45" s="10">
        <f>G45*GP_FundMgmt_Pct</f>
        <v/>
      </c>
      <c r="I45" s="10">
        <f>G45*GP_Consultant_Pct</f>
        <v/>
      </c>
      <c r="J45" s="10">
        <f>G45*GP_Raj_Pct</f>
        <v/>
      </c>
      <c r="K45" s="10">
        <f>G45*GP_Nairne_Pct</f>
        <v/>
      </c>
      <c r="L45" s="10">
        <f>G45*GP_Alec_Pct</f>
        <v/>
      </c>
      <c r="M45" s="10">
        <f>ROUND(SUM(H45:L45)-G45, 2)</f>
        <v/>
      </c>
    </row>
    <row r="46">
      <c r="A46" t="inlineStr">
        <is>
          <t>14-Class B-1002-1</t>
        </is>
      </c>
      <c r="B46" t="inlineStr">
        <is>
          <t>Frieda Goldsmith 1998 Trust</t>
        </is>
      </c>
      <c r="C46" t="inlineStr">
        <is>
          <t>Alec Atkinson</t>
        </is>
      </c>
      <c r="D46" s="10" t="n">
        <v>0</v>
      </c>
      <c r="E46" s="10" t="n">
        <v>80692.28999999999</v>
      </c>
      <c r="F46" s="10" t="n">
        <v>2709.62</v>
      </c>
      <c r="G46" s="7" t="n">
        <v>812.88</v>
      </c>
      <c r="H46" s="10">
        <f>G46*GP_FundMgmt_Pct</f>
        <v/>
      </c>
      <c r="I46" s="10">
        <f>G46*GP_Consultant_Pct</f>
        <v/>
      </c>
      <c r="J46" s="10">
        <f>G46*GP_Raj_Pct</f>
        <v/>
      </c>
      <c r="K46" s="10">
        <f>G46*GP_Nairne_Pct</f>
        <v/>
      </c>
      <c r="L46" s="10">
        <f>G46*GP_Alec_Pct</f>
        <v/>
      </c>
      <c r="M46" s="10">
        <f>ROUND(SUM(H46:L46)-G46, 2)</f>
        <v/>
      </c>
    </row>
    <row r="47">
      <c r="A47" t="inlineStr">
        <is>
          <t>14-Class B-1056-1</t>
        </is>
      </c>
      <c r="B47" t="inlineStr">
        <is>
          <t>Richard Gordon</t>
        </is>
      </c>
      <c r="C47" t="inlineStr">
        <is>
          <t>Jake Gordon</t>
        </is>
      </c>
      <c r="D47" s="10" t="n">
        <v>0</v>
      </c>
      <c r="E47" s="10" t="n">
        <v>78321.57000000001</v>
      </c>
      <c r="F47" s="10" t="n">
        <v>2630.01</v>
      </c>
      <c r="G47" s="7" t="n">
        <v>789</v>
      </c>
      <c r="H47" s="10">
        <f>G47*GP_FundMgmt_Pct</f>
        <v/>
      </c>
      <c r="I47" s="10">
        <f>G47*GP_Consultant_Pct</f>
        <v/>
      </c>
      <c r="J47" s="10">
        <f>G47*GP_Raj_Pct</f>
        <v/>
      </c>
      <c r="K47" s="10">
        <f>G47*GP_Nairne_Pct</f>
        <v/>
      </c>
      <c r="L47" s="10">
        <f>G47*GP_Alec_Pct</f>
        <v/>
      </c>
      <c r="M47" s="10">
        <f>ROUND(SUM(H47:L47)-G47, 2)</f>
        <v/>
      </c>
    </row>
    <row r="48">
      <c r="A48" t="inlineStr">
        <is>
          <t>14-Class B-1004-1</t>
        </is>
      </c>
      <c r="B48" t="inlineStr">
        <is>
          <t>Golden Touch Properties LLC</t>
        </is>
      </c>
      <c r="C48" t="inlineStr">
        <is>
          <t>AJ Affleck</t>
        </is>
      </c>
      <c r="D48" s="10" t="n">
        <v>0</v>
      </c>
      <c r="E48" s="10" t="n">
        <v>64305.85</v>
      </c>
      <c r="F48" s="10" t="n">
        <v>2159.37</v>
      </c>
      <c r="G48" s="7" t="n">
        <v>647.8099999999999</v>
      </c>
      <c r="H48" s="10">
        <f>G48*GP_FundMgmt_Pct</f>
        <v/>
      </c>
      <c r="I48" s="10">
        <f>G48*GP_Consultant_Pct</f>
        <v/>
      </c>
      <c r="J48" s="10">
        <f>G48*GP_Raj_Pct</f>
        <v/>
      </c>
      <c r="K48" s="10">
        <f>G48*GP_Nairne_Pct</f>
        <v/>
      </c>
      <c r="L48" s="10">
        <f>G48*GP_Alec_Pct</f>
        <v/>
      </c>
      <c r="M48" s="10">
        <f>ROUND(SUM(H48:L48)-G48, 2)</f>
        <v/>
      </c>
    </row>
    <row r="49">
      <c r="A49" t="inlineStr">
        <is>
          <t>14-Class B-1015-1</t>
        </is>
      </c>
      <c r="B49" t="inlineStr">
        <is>
          <t>Treyson Gordon</t>
        </is>
      </c>
      <c r="C49" t="inlineStr">
        <is>
          <t>Jake Gordon</t>
        </is>
      </c>
      <c r="D49" s="10" t="n">
        <v>0</v>
      </c>
      <c r="E49" s="10" t="n">
        <v>57066.22</v>
      </c>
      <c r="F49" s="10" t="n">
        <v>1916.26</v>
      </c>
      <c r="G49" s="7" t="n">
        <v>574.88</v>
      </c>
      <c r="H49" s="10">
        <f>G49*GP_FundMgmt_Pct</f>
        <v/>
      </c>
      <c r="I49" s="10">
        <f>G49*GP_Consultant_Pct</f>
        <v/>
      </c>
      <c r="J49" s="10">
        <f>G49*GP_Raj_Pct</f>
        <v/>
      </c>
      <c r="K49" s="10">
        <f>G49*GP_Nairne_Pct</f>
        <v/>
      </c>
      <c r="L49" s="10">
        <f>G49*GP_Alec_Pct</f>
        <v/>
      </c>
      <c r="M49" s="10">
        <f>ROUND(SUM(H49:L49)-G49, 2)</f>
        <v/>
      </c>
    </row>
    <row r="50">
      <c r="A50" t="inlineStr">
        <is>
          <t>14-Class B-1025-1</t>
        </is>
      </c>
      <c r="B50" t="inlineStr">
        <is>
          <t>The Atkinson Group LLC</t>
        </is>
      </c>
      <c r="C50" t="inlineStr">
        <is>
          <t>Alec Atkinson</t>
        </is>
      </c>
      <c r="D50" s="10" t="n">
        <v>0</v>
      </c>
      <c r="E50" s="10" t="n">
        <v>41136.24</v>
      </c>
      <c r="F50" s="10" t="n">
        <v>1381.34</v>
      </c>
      <c r="G50" s="7" t="n">
        <v>414.4</v>
      </c>
      <c r="H50" s="10">
        <f>G50*GP_FundMgmt_Pct</f>
        <v/>
      </c>
      <c r="I50" s="10">
        <f>G50*GP_Consultant_Pct</f>
        <v/>
      </c>
      <c r="J50" s="10">
        <f>G50*GP_Raj_Pct</f>
        <v/>
      </c>
      <c r="K50" s="10">
        <f>G50*GP_Nairne_Pct</f>
        <v/>
      </c>
      <c r="L50" s="10">
        <f>G50*GP_Alec_Pct</f>
        <v/>
      </c>
      <c r="M50" s="10">
        <f>ROUND(SUM(H50:L50)-G50, 2)</f>
        <v/>
      </c>
    </row>
    <row r="51">
      <c r="A51" t="inlineStr">
        <is>
          <t>14-Class B-1010-1</t>
        </is>
      </c>
      <c r="B51" t="inlineStr">
        <is>
          <t>Mitchell Squires</t>
        </is>
      </c>
      <c r="C51" t="inlineStr">
        <is>
          <t>Alec Atkinson</t>
        </is>
      </c>
      <c r="D51" s="10" t="n">
        <v>0</v>
      </c>
      <c r="E51" s="10" t="n">
        <v>1100.81</v>
      </c>
      <c r="F51" s="10" t="n">
        <v>36.96</v>
      </c>
      <c r="G51" s="7" t="n">
        <v>11.09</v>
      </c>
      <c r="H51" s="10">
        <f>G51*GP_FundMgmt_Pct</f>
        <v/>
      </c>
      <c r="I51" s="10">
        <f>G51*GP_Consultant_Pct</f>
        <v/>
      </c>
      <c r="J51" s="10">
        <f>G51*GP_Raj_Pct</f>
        <v/>
      </c>
      <c r="K51" s="10">
        <f>G51*GP_Nairne_Pct</f>
        <v/>
      </c>
      <c r="L51" s="10">
        <f>G51*GP_Alec_Pct</f>
        <v/>
      </c>
      <c r="M51" s="10">
        <f>ROUND(SUM(H51:L51)-G51, 2)</f>
        <v/>
      </c>
    </row>
    <row r="52">
      <c r="A52" t="inlineStr">
        <is>
          <t>14-Class B-1024-1</t>
        </is>
      </c>
      <c r="B52" t="inlineStr">
        <is>
          <t>Joel Guy and Jennifer Pasetes</t>
        </is>
      </c>
      <c r="C52" t="inlineStr">
        <is>
          <t>Alec Atkinson</t>
        </is>
      </c>
      <c r="D52" s="10" t="n">
        <v>0</v>
      </c>
      <c r="E52" s="10" t="n">
        <v>0</v>
      </c>
      <c r="F52" s="10" t="n">
        <v>0</v>
      </c>
      <c r="G52" s="7" t="n">
        <v>0</v>
      </c>
      <c r="H52" s="10">
        <f>G52*GP_FundMgmt_Pct</f>
        <v/>
      </c>
      <c r="I52" s="10">
        <f>G52*GP_Consultant_Pct</f>
        <v/>
      </c>
      <c r="J52" s="10">
        <f>G52*GP_Raj_Pct</f>
        <v/>
      </c>
      <c r="K52" s="10">
        <f>G52*GP_Nairne_Pct</f>
        <v/>
      </c>
      <c r="L52" s="10">
        <f>G52*GP_Alec_Pct</f>
        <v/>
      </c>
      <c r="M52" s="10">
        <f>ROUND(SUM(H52:L52)-G52, 2)</f>
        <v/>
      </c>
    </row>
    <row r="53">
      <c r="B53" s="11" t="inlineStr">
        <is>
          <t>TOTAL</t>
        </is>
      </c>
      <c r="D53" s="12">
        <f>SUM(D2:D52)</f>
        <v/>
      </c>
      <c r="E53" s="12">
        <f>SUM(E2:E52)</f>
        <v/>
      </c>
      <c r="F53" s="12">
        <f>SUM(F2:F52)</f>
        <v/>
      </c>
      <c r="G53" s="12">
        <f>SUM(G2:G52)</f>
        <v/>
      </c>
      <c r="H53" s="12">
        <f>SUM(H2:H52)</f>
        <v/>
      </c>
      <c r="I53" s="12">
        <f>SUM(I2:I52)</f>
        <v/>
      </c>
      <c r="J53" s="12">
        <f>SUM(J2:J52)</f>
        <v/>
      </c>
      <c r="K53" s="12">
        <f>SUM(K2:K52)</f>
        <v/>
      </c>
      <c r="L53" s="12">
        <f>SUM(L2:L52)</f>
        <v/>
      </c>
      <c r="M53" s="10">
        <f>ROUND(SUM(H53:L53)-G53, 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39" customWidth="1" min="3" max="3"/>
    <col width="45" customWidth="1" min="4" max="4"/>
    <col width="23" customWidth="1" min="5" max="5"/>
    <col width="48" customWidth="1" min="6" max="6"/>
    <col width="13" customWidth="1" min="7" max="7"/>
  </cols>
  <sheetData>
    <row r="1">
      <c r="A1" s="9" t="inlineStr">
        <is>
          <t>Consultant</t>
        </is>
      </c>
      <c r="B1" s="9" t="inlineStr">
        <is>
          <t># Investors</t>
        </is>
      </c>
      <c r="C1" s="9" t="inlineStr">
        <is>
          <t>Capital Raised</t>
        </is>
      </c>
      <c r="D1" s="9" t="inlineStr">
        <is>
          <t>Gross GP</t>
        </is>
      </c>
      <c r="E1" s="9" t="inlineStr">
        <is>
          <t>% of GP Pool</t>
        </is>
      </c>
      <c r="F1" s="9" t="inlineStr">
        <is>
          <t>Weighted Expense</t>
        </is>
      </c>
      <c r="G1" s="9" t="inlineStr">
        <is>
          <t>Net Profit</t>
        </is>
      </c>
    </row>
    <row r="2">
      <c r="A2" t="inlineStr">
        <is>
          <t>AJ Affleck</t>
        </is>
      </c>
      <c r="B2">
        <f>COUNTIF(PI_Consultant, A2)</f>
        <v/>
      </c>
      <c r="C2" s="10">
        <f>SUMIF(PI_Consultant, A2, PI_Capital)</f>
        <v/>
      </c>
      <c r="D2" s="10">
        <f>SUMIF(PI_Consultant, A2, PI_ConsultantCut)</f>
        <v/>
      </c>
      <c r="E2" s="13">
        <f>IFERROR(D2/$D$14,0)</f>
        <v/>
      </c>
      <c r="F2" s="10">
        <f>IFERROR(INDEX(Costs_PartyTotals, MATCH(A2, Costs_PartyHeaders, 0)), 0)</f>
        <v/>
      </c>
      <c r="G2" s="10">
        <f>D2-F2</f>
        <v/>
      </c>
    </row>
    <row r="3">
      <c r="A3" t="inlineStr">
        <is>
          <t>Alec Atkinson</t>
        </is>
      </c>
      <c r="B3">
        <f>COUNTIF(PI_Consultant, A3)</f>
        <v/>
      </c>
      <c r="C3" s="10">
        <f>SUMIF(PI_Consultant, A3, PI_Capital)</f>
        <v/>
      </c>
      <c r="D3" s="10">
        <f>SUMIF(PI_Consultant, A3, PI_ConsultantCut)</f>
        <v/>
      </c>
      <c r="E3" s="13">
        <f>IFERROR(D3/$D$14,0)</f>
        <v/>
      </c>
      <c r="F3" s="10">
        <f>IFERROR(INDEX(Costs_PartyTotals, MATCH(A3, Costs_PartyHeaders, 0)), 0)</f>
        <v/>
      </c>
      <c r="G3" s="10">
        <f>D3-F3</f>
        <v/>
      </c>
    </row>
    <row r="4">
      <c r="A4" t="inlineStr">
        <is>
          <t>Fund Hub SPV (Pending Split)</t>
        </is>
      </c>
      <c r="B4">
        <f>COUNTIF(PI_Consultant, A4)</f>
        <v/>
      </c>
      <c r="C4" s="10">
        <f>SUMIF(PI_Consultant, A4, PI_Capital)</f>
        <v/>
      </c>
      <c r="D4" s="10">
        <f>SUMIF(PI_Consultant, A4, PI_ConsultantCut)</f>
        <v/>
      </c>
      <c r="E4" s="13">
        <f>IFERROR(D4/$D$14,0)</f>
        <v/>
      </c>
      <c r="F4" s="10">
        <f>IFERROR(INDEX(Costs_PartyTotals, MATCH(A4, Costs_PartyHeaders, 0)), 0)</f>
        <v/>
      </c>
      <c r="G4" s="10">
        <f>D4-F4</f>
        <v/>
      </c>
    </row>
    <row r="5">
      <c r="A5" t="inlineStr">
        <is>
          <t>Jake Gordon</t>
        </is>
      </c>
      <c r="B5">
        <f>COUNTIF(PI_Consultant, A5)</f>
        <v/>
      </c>
      <c r="C5" s="10">
        <f>SUMIF(PI_Consultant, A5, PI_Capital)</f>
        <v/>
      </c>
      <c r="D5" s="10">
        <f>SUMIF(PI_Consultant, A5, PI_ConsultantCut)</f>
        <v/>
      </c>
      <c r="E5" s="13">
        <f>IFERROR(D5/$D$14,0)</f>
        <v/>
      </c>
      <c r="F5" s="10">
        <f>IFERROR(INDEX(Costs_PartyTotals, MATCH(A5, Costs_PartyHeaders, 0)), 0)</f>
        <v/>
      </c>
      <c r="G5" s="10">
        <f>D5-F5</f>
        <v/>
      </c>
    </row>
    <row r="6">
      <c r="A6" t="inlineStr">
        <is>
          <t>Luke</t>
        </is>
      </c>
      <c r="B6">
        <f>COUNTIF(PI_Consultant, A6)</f>
        <v/>
      </c>
      <c r="C6" s="10">
        <f>SUMIF(PI_Consultant, A6, PI_Capital)</f>
        <v/>
      </c>
      <c r="D6" s="10">
        <f>SUMIF(PI_Consultant, A6, PI_ConsultantCut)</f>
        <v/>
      </c>
      <c r="E6" s="13">
        <f>IFERROR(D6/$D$14,0)</f>
        <v/>
      </c>
      <c r="F6" s="10">
        <f>IFERROR(INDEX(Costs_PartyTotals, MATCH(A6, Costs_PartyHeaders, 0)), 0)</f>
        <v/>
      </c>
      <c r="G6" s="10">
        <f>D6-F6</f>
        <v/>
      </c>
    </row>
    <row r="7">
      <c r="A7" s="14" t="inlineStr">
        <is>
          <t>CONSULTANTS SUBTOTAL</t>
        </is>
      </c>
      <c r="B7" s="15">
        <f>SUM(B2:B6)</f>
        <v/>
      </c>
      <c r="C7" s="12">
        <f>SUM(C2:C6)</f>
        <v/>
      </c>
      <c r="D7" s="12">
        <f>SUM(D2:D6)</f>
        <v/>
      </c>
      <c r="E7" s="16">
        <f>IFERROR(D7/$D$14,0)</f>
        <v/>
      </c>
      <c r="F7" s="12">
        <f>SUM(F2:F6)</f>
        <v/>
      </c>
      <c r="G7" s="12">
        <f>SUM(G2:G6)</f>
        <v/>
      </c>
    </row>
    <row r="8"/>
    <row r="9">
      <c r="A9" s="17" t="inlineStr">
        <is>
          <t>GP POOL — OTHER RECIPIENTS</t>
        </is>
      </c>
    </row>
    <row r="10">
      <c r="A10" s="18" t="inlineStr">
        <is>
          <t>Fund Mgmt</t>
        </is>
      </c>
      <c r="B10" t="inlineStr">
        <is>
          <t>—</t>
        </is>
      </c>
      <c r="C10" t="inlineStr">
        <is>
          <t>—</t>
        </is>
      </c>
      <c r="D10" s="10">
        <f>SUM(PI_PerfFee)*GP_FundMgmt_Pct</f>
        <v/>
      </c>
      <c r="E10" s="13">
        <f>IFERROR(D10/$D$14,0)</f>
        <v/>
      </c>
      <c r="F10" s="10">
        <f>IFERROR(INDEX(Costs_PartyTotals, MATCH(A10, Costs_PartyHeaders, 0)), 0)</f>
        <v/>
      </c>
      <c r="G10" s="10">
        <f>D10-F10</f>
        <v/>
      </c>
    </row>
    <row r="11">
      <c r="A11" s="19" t="inlineStr">
        <is>
          <t>Raj (GP fixed 0.5%)</t>
        </is>
      </c>
      <c r="B11" t="inlineStr">
        <is>
          <t>—</t>
        </is>
      </c>
      <c r="C11" t="inlineStr">
        <is>
          <t>—</t>
        </is>
      </c>
      <c r="D11" s="10">
        <f>SUM(PI_PerfFee)*GP_Raj_Pct</f>
        <v/>
      </c>
      <c r="E11" s="13">
        <f>IFERROR(D11/$D$14,0)</f>
        <v/>
      </c>
      <c r="F11" s="10">
        <f>IFERROR(INDEX(Costs_PartyTotals, MATCH(A11, Costs_PartyHeaders, 0)), 0)</f>
        <v/>
      </c>
      <c r="G11" s="10">
        <f>D11-F11</f>
        <v/>
      </c>
    </row>
    <row r="12">
      <c r="A12" s="19" t="inlineStr">
        <is>
          <t>Nairne (GP fixed 0.5%)</t>
        </is>
      </c>
      <c r="B12" t="inlineStr">
        <is>
          <t>—</t>
        </is>
      </c>
      <c r="C12" t="inlineStr">
        <is>
          <t>—</t>
        </is>
      </c>
      <c r="D12" s="10">
        <f>SUM(PI_PerfFee)*GP_Nairne_Pct</f>
        <v/>
      </c>
      <c r="E12" s="13">
        <f>IFERROR(D12/$D$14,0)</f>
        <v/>
      </c>
      <c r="F12" s="10">
        <f>IFERROR(INDEX(Costs_PartyTotals, MATCH(A12, Costs_PartyHeaders, 0)), 0)</f>
        <v/>
      </c>
      <c r="G12" s="10">
        <f>D12-F12</f>
        <v/>
      </c>
    </row>
    <row r="13">
      <c r="A13" s="19" t="inlineStr">
        <is>
          <t>Alec (GP fixed 0.5%)</t>
        </is>
      </c>
      <c r="B13" t="inlineStr">
        <is>
          <t>—</t>
        </is>
      </c>
      <c r="C13" t="inlineStr">
        <is>
          <t>—</t>
        </is>
      </c>
      <c r="D13" s="10">
        <f>SUM(PI_PerfFee)*GP_Alec_Pct</f>
        <v/>
      </c>
      <c r="E13" s="13">
        <f>IFERROR(D13/$D$14,0)</f>
        <v/>
      </c>
      <c r="F13" s="10">
        <f>IFERROR(INDEX(Costs_PartyTotals, MATCH(A13, Costs_PartyHeaders, 0)), 0)</f>
        <v/>
      </c>
      <c r="G13" s="10">
        <f>D13-F13</f>
        <v/>
      </c>
    </row>
    <row r="14">
      <c r="A14" s="15" t="inlineStr">
        <is>
          <t>GP POOL TOTAL</t>
        </is>
      </c>
      <c r="B14" s="15" t="n"/>
      <c r="C14" s="15" t="n"/>
      <c r="D14" s="12">
        <f>SUM(D2:D6)+SUM(D10:D13)</f>
        <v/>
      </c>
      <c r="E14" s="16">
        <f>D14/$D$14</f>
        <v/>
      </c>
      <c r="F14" s="12">
        <f>SUM(F2:F6)+SUM(F10:F13)</f>
        <v/>
      </c>
      <c r="G14" s="12">
        <f>D14-F14</f>
        <v/>
      </c>
    </row>
    <row r="15"/>
    <row r="16">
      <c r="A16" s="20" t="inlineStr">
        <is>
          <t>EXTERNAL — TruQuant (18% upstream of Armada's books)</t>
        </is>
      </c>
    </row>
    <row r="17">
      <c r="A17" s="21" t="inlineStr">
        <is>
          <t>TruQuant</t>
        </is>
      </c>
      <c r="B17" t="inlineStr">
        <is>
          <t>—</t>
        </is>
      </c>
      <c r="C17" t="inlineStr">
        <is>
          <t>—</t>
        </is>
      </c>
      <c r="D17" s="10">
        <f>TQ_Income</f>
        <v/>
      </c>
      <c r="E17" t="inlineStr">
        <is>
          <t>—</t>
        </is>
      </c>
      <c r="F17" s="10">
        <f>IFERROR(INDEX(Costs_PartyTotals, MATCH(A17, Costs_PartyHeaders, 0)), 0)</f>
        <v/>
      </c>
      <c r="G17" s="10">
        <f>D17-F17</f>
        <v/>
      </c>
    </row>
    <row r="18"/>
    <row r="19">
      <c r="A19" s="15" t="inlineStr">
        <is>
          <t>GRAND TOTAL (Armada + TQ)</t>
        </is>
      </c>
      <c r="B19" s="15" t="n"/>
      <c r="C19" s="15" t="n"/>
      <c r="D19" s="12">
        <f>D14+D17</f>
        <v/>
      </c>
      <c r="E19" s="15" t="n"/>
      <c r="F19" s="12">
        <f>F14+F17</f>
        <v/>
      </c>
      <c r="G19" s="12">
        <f>D19-F19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Costs — Allocation by Payor Group</t>
        </is>
      </c>
    </row>
    <row r="2">
      <c r="A2" s="2" t="inlineStr">
        <is>
          <t>Period: Mar 2026</t>
        </is>
      </c>
    </row>
    <row r="3" ht="28" customHeight="1">
      <c r="A3" s="22" t="inlineStr">
        <is>
          <t>Payor Groups: 'TQ/Armada' = split among everyone (incl. TruQuant) by income share. 'Armada' = split among Armada parties only (excludes TruQuant) by income. 'Fund Management' = 100% Fund Mgmt.</t>
        </is>
      </c>
    </row>
    <row r="5">
      <c r="A5" s="9" t="inlineStr">
        <is>
          <t>Expense Item</t>
        </is>
      </c>
      <c r="B5" s="9" t="inlineStr">
        <is>
          <t>Total Cost</t>
        </is>
      </c>
      <c r="C5" s="9" t="inlineStr">
        <is>
          <t>Status</t>
        </is>
      </c>
      <c r="D5" s="9" t="inlineStr">
        <is>
          <t>Payor Group</t>
        </is>
      </c>
      <c r="E5" s="9" t="inlineStr">
        <is>
          <t>AJ Affleck</t>
        </is>
      </c>
      <c r="F5" s="9" t="inlineStr">
        <is>
          <t>Alec Atkinson</t>
        </is>
      </c>
      <c r="G5" s="9" t="inlineStr">
        <is>
          <t>Fund Hub SPV (Pending Split)</t>
        </is>
      </c>
      <c r="H5" s="9" t="inlineStr">
        <is>
          <t>Jake Gordon</t>
        </is>
      </c>
      <c r="I5" s="9" t="inlineStr">
        <is>
          <t>Luke</t>
        </is>
      </c>
      <c r="J5" s="9" t="inlineStr">
        <is>
          <t>Fund Mgmt</t>
        </is>
      </c>
      <c r="K5" s="9" t="inlineStr">
        <is>
          <t>TruQuant</t>
        </is>
      </c>
      <c r="L5" s="9" t="inlineStr">
        <is>
          <t>Raj (GP fixed 0.5%)</t>
        </is>
      </c>
      <c r="M5" s="9" t="inlineStr">
        <is>
          <t>Nairne (GP fixed 0.5%)</t>
        </is>
      </c>
      <c r="N5" s="9" t="inlineStr">
        <is>
          <t>Alec (GP fixed 0.5%)</t>
        </is>
      </c>
    </row>
    <row r="6">
      <c r="A6" t="inlineStr">
        <is>
          <t>Chris</t>
        </is>
      </c>
      <c r="B6" s="7" t="n">
        <v>8000</v>
      </c>
      <c r="C6" t="inlineStr"/>
      <c r="D6" s="23" t="inlineStr">
        <is>
          <t>TQ/Armada</t>
        </is>
      </c>
      <c r="E6" s="10" t="n">
        <v>125.29</v>
      </c>
      <c r="F6" s="10" t="n">
        <v>1196.17</v>
      </c>
      <c r="G6" s="10" t="n">
        <v>133.02</v>
      </c>
      <c r="H6" s="10" t="n">
        <v>314.35</v>
      </c>
      <c r="I6" s="10" t="n">
        <v>32.54</v>
      </c>
      <c r="J6" s="10" t="n">
        <v>2748.24</v>
      </c>
      <c r="K6" s="10" t="n">
        <v>3381.1</v>
      </c>
      <c r="L6" s="10" t="n">
        <v>23.09</v>
      </c>
      <c r="M6" s="10" t="n">
        <v>23.09</v>
      </c>
      <c r="N6" s="10" t="n">
        <v>23.09</v>
      </c>
    </row>
    <row r="7">
      <c r="A7" t="inlineStr">
        <is>
          <t>TPA</t>
        </is>
      </c>
      <c r="B7" s="7" t="n">
        <v>1200</v>
      </c>
      <c r="C7" t="inlineStr"/>
      <c r="D7" s="23" t="inlineStr">
        <is>
          <t>Armada</t>
        </is>
      </c>
      <c r="E7" s="10" t="n">
        <v>32.55</v>
      </c>
      <c r="F7" s="10" t="n">
        <v>310.77</v>
      </c>
      <c r="G7" s="10" t="n">
        <v>34.56</v>
      </c>
      <c r="H7" s="10" t="n">
        <v>81.67</v>
      </c>
      <c r="I7" s="10" t="n">
        <v>8.449999999999999</v>
      </c>
      <c r="J7" s="10" t="n">
        <v>714</v>
      </c>
      <c r="K7" s="10" t="n">
        <v>0</v>
      </c>
      <c r="L7" s="10" t="n">
        <v>6</v>
      </c>
      <c r="M7" s="10" t="n">
        <v>6</v>
      </c>
      <c r="N7" s="10" t="n">
        <v>6</v>
      </c>
    </row>
    <row r="8">
      <c r="A8" t="inlineStr">
        <is>
          <t>Chris (Hotel+Ticket)</t>
        </is>
      </c>
      <c r="B8" s="7" t="n">
        <v>3226.17</v>
      </c>
      <c r="C8" t="inlineStr"/>
      <c r="D8" s="23" t="inlineStr">
        <is>
          <t>TQ/Armada</t>
        </is>
      </c>
      <c r="E8" s="10" t="n">
        <v>50.53</v>
      </c>
      <c r="F8" s="10" t="n">
        <v>482.38</v>
      </c>
      <c r="G8" s="10" t="n">
        <v>53.64</v>
      </c>
      <c r="H8" s="10" t="n">
        <v>126.77</v>
      </c>
      <c r="I8" s="10" t="n">
        <v>13.12</v>
      </c>
      <c r="J8" s="10" t="n">
        <v>1108.29</v>
      </c>
      <c r="K8" s="10" t="n">
        <v>1363.5</v>
      </c>
      <c r="L8" s="10" t="n">
        <v>9.31</v>
      </c>
      <c r="M8" s="10" t="n">
        <v>9.31</v>
      </c>
      <c r="N8" s="10" t="n">
        <v>9.31</v>
      </c>
    </row>
    <row r="9">
      <c r="A9" t="inlineStr">
        <is>
          <t>Charalece</t>
        </is>
      </c>
      <c r="B9" s="7" t="n">
        <v>4000</v>
      </c>
      <c r="C9" t="inlineStr"/>
      <c r="D9" s="23" t="inlineStr">
        <is>
          <t>Armada</t>
        </is>
      </c>
      <c r="E9" s="10" t="n">
        <v>108.5</v>
      </c>
      <c r="F9" s="10" t="n">
        <v>1035.89</v>
      </c>
      <c r="G9" s="10" t="n">
        <v>115.2</v>
      </c>
      <c r="H9" s="10" t="n">
        <v>272.23</v>
      </c>
      <c r="I9" s="10" t="n">
        <v>28.18</v>
      </c>
      <c r="J9" s="10" t="n">
        <v>2380</v>
      </c>
      <c r="K9" s="10" t="n">
        <v>0</v>
      </c>
      <c r="L9" s="10" t="n">
        <v>20</v>
      </c>
      <c r="M9" s="10" t="n">
        <v>20</v>
      </c>
      <c r="N9" s="10" t="n">
        <v>20</v>
      </c>
    </row>
    <row r="10">
      <c r="A10" t="inlineStr">
        <is>
          <t>Alec (Ticket)</t>
        </is>
      </c>
      <c r="B10" s="7" t="n">
        <v>886</v>
      </c>
      <c r="C10" t="inlineStr"/>
      <c r="D10" s="23" t="inlineStr">
        <is>
          <t>Fund Management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886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t="inlineStr">
        <is>
          <t>Alec (Hotel)</t>
        </is>
      </c>
      <c r="B11" s="7" t="n">
        <v>1172</v>
      </c>
      <c r="C11" t="inlineStr"/>
      <c r="D11" s="23" t="inlineStr">
        <is>
          <t>Fund Management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1172</v>
      </c>
      <c r="K11" s="10" t="n">
        <v>0</v>
      </c>
      <c r="L11" s="10" t="n">
        <v>0</v>
      </c>
      <c r="M11" s="10" t="n">
        <v>0</v>
      </c>
      <c r="N11" s="10" t="n">
        <v>0</v>
      </c>
    </row>
    <row r="12">
      <c r="A12" t="inlineStr">
        <is>
          <t>Taxes</t>
        </is>
      </c>
      <c r="B12" s="7" t="n">
        <v>6750</v>
      </c>
      <c r="C12" t="inlineStr"/>
      <c r="D12" s="23" t="inlineStr">
        <is>
          <t>Armada</t>
        </is>
      </c>
      <c r="E12" s="10" t="n">
        <v>183.1</v>
      </c>
      <c r="F12" s="10" t="n">
        <v>1748.06</v>
      </c>
      <c r="G12" s="10" t="n">
        <v>194.4</v>
      </c>
      <c r="H12" s="10" t="n">
        <v>459.39</v>
      </c>
      <c r="I12" s="10" t="n">
        <v>47.55</v>
      </c>
      <c r="J12" s="10" t="n">
        <v>4016.25</v>
      </c>
      <c r="K12" s="10" t="n">
        <v>0</v>
      </c>
      <c r="L12" s="10" t="n">
        <v>33.75</v>
      </c>
      <c r="M12" s="10" t="n">
        <v>33.75</v>
      </c>
      <c r="N12" s="10" t="n">
        <v>33.75</v>
      </c>
    </row>
    <row r="13">
      <c r="A13" t="inlineStr">
        <is>
          <t>Legal</t>
        </is>
      </c>
      <c r="B13" s="7" t="n">
        <v>26000</v>
      </c>
      <c r="C13" t="inlineStr"/>
      <c r="D13" s="23" t="inlineStr">
        <is>
          <t>Armada</t>
        </is>
      </c>
      <c r="E13" s="10" t="n">
        <v>705.28</v>
      </c>
      <c r="F13" s="10" t="n">
        <v>6733.29</v>
      </c>
      <c r="G13" s="10" t="n">
        <v>748.78</v>
      </c>
      <c r="H13" s="10" t="n">
        <v>1769.49</v>
      </c>
      <c r="I13" s="10" t="n">
        <v>183.16</v>
      </c>
      <c r="J13" s="10" t="n">
        <v>15470</v>
      </c>
      <c r="K13" s="10" t="n">
        <v>0</v>
      </c>
      <c r="L13" s="10" t="n">
        <v>130</v>
      </c>
      <c r="M13" s="10" t="n">
        <v>130</v>
      </c>
      <c r="N13" s="10" t="n">
        <v>130</v>
      </c>
    </row>
    <row r="14">
      <c r="A14" s="11" t="inlineStr">
        <is>
          <t>TOTAL</t>
        </is>
      </c>
      <c r="B14" s="12">
        <f>SUM(B6:B13)</f>
        <v/>
      </c>
      <c r="E14" s="12">
        <f>SUM(E6:E13)</f>
        <v/>
      </c>
      <c r="F14" s="12">
        <f>SUM(F6:F13)</f>
        <v/>
      </c>
      <c r="G14" s="12">
        <f>SUM(G6:G13)</f>
        <v/>
      </c>
      <c r="H14" s="12">
        <f>SUM(H6:H13)</f>
        <v/>
      </c>
      <c r="I14" s="12">
        <f>SUM(I6:I13)</f>
        <v/>
      </c>
      <c r="J14" s="12">
        <f>SUM(J6:J13)</f>
        <v/>
      </c>
      <c r="K14" s="12">
        <f>SUM(K6:K13)</f>
        <v/>
      </c>
      <c r="L14" s="12">
        <f>SUM(L6:L13)</f>
        <v/>
      </c>
      <c r="M14" s="12">
        <f>SUM(M6:M13)</f>
        <v/>
      </c>
      <c r="N14" s="12">
        <f>SUM(N6:N13)</f>
        <v/>
      </c>
    </row>
    <row r="17">
      <c r="A17" s="3" t="inlineStr">
        <is>
          <t>Income Reference (used for cost weighting)</t>
        </is>
      </c>
    </row>
    <row r="18">
      <c r="A18" s="9" t="inlineStr">
        <is>
          <t>Party</t>
        </is>
      </c>
      <c r="B18" s="9" t="inlineStr">
        <is>
          <t>Income</t>
        </is>
      </c>
      <c r="C18" s="9" t="inlineStr">
        <is>
          <t>% TQ+Armada</t>
        </is>
      </c>
      <c r="D18" s="9" t="inlineStr">
        <is>
          <t>% Armada-only</t>
        </is>
      </c>
    </row>
    <row r="19">
      <c r="A19" t="inlineStr">
        <is>
          <t>AJ Affleck</t>
        </is>
      </c>
      <c r="B19" s="10" t="n">
        <v>3293.22</v>
      </c>
      <c r="C19" s="13" t="n">
        <v>0.01566156528291167</v>
      </c>
      <c r="D19" s="13" t="n">
        <v>0.02712606283373016</v>
      </c>
    </row>
    <row r="20">
      <c r="A20" t="inlineStr">
        <is>
          <t>Alec Atkinson</t>
        </is>
      </c>
      <c r="B20" s="10" t="n">
        <v>31440.36</v>
      </c>
      <c r="C20" s="13" t="n">
        <v>0.1495209636632215</v>
      </c>
      <c r="D20" s="13" t="n">
        <v>0.2589725217130014</v>
      </c>
    </row>
    <row r="21">
      <c r="A21" t="inlineStr">
        <is>
          <t>Fund Hub SPV (Pending Split)</t>
        </is>
      </c>
      <c r="B21" s="10" t="n">
        <v>3496.35</v>
      </c>
      <c r="C21" s="13" t="n">
        <v>0.01662761667864213</v>
      </c>
      <c r="D21" s="13" t="n">
        <v>0.02879927814700346</v>
      </c>
    </row>
    <row r="22">
      <c r="A22" t="inlineStr">
        <is>
          <t>Jake Gordon</t>
        </is>
      </c>
      <c r="B22" s="10" t="n">
        <v>8262.459999999999</v>
      </c>
      <c r="C22" s="13" t="n">
        <v>0.03929378719646822</v>
      </c>
      <c r="D22" s="13" t="n">
        <v>0.06805742090349085</v>
      </c>
    </row>
    <row r="23">
      <c r="A23" t="inlineStr">
        <is>
          <t>Luke</t>
        </is>
      </c>
      <c r="B23" s="10" t="n">
        <v>855.26</v>
      </c>
      <c r="C23" s="13" t="n">
        <v>0.004067353471748701</v>
      </c>
      <c r="D23" s="13" t="n">
        <v>0.007044716402774138</v>
      </c>
    </row>
    <row r="24">
      <c r="A24" t="inlineStr">
        <is>
          <t>Fund Mgmt</t>
        </is>
      </c>
      <c r="B24" s="10" t="n">
        <v>72235.50999999999</v>
      </c>
      <c r="C24" s="13" t="n">
        <v>0.3435305521649496</v>
      </c>
      <c r="D24" s="13" t="n">
        <v>0.595</v>
      </c>
    </row>
    <row r="25">
      <c r="A25" t="inlineStr">
        <is>
          <t>TruQuant</t>
        </is>
      </c>
      <c r="B25" s="10" t="n">
        <v>88869.69</v>
      </c>
      <c r="C25" s="13" t="n">
        <v>0.4226377274538662</v>
      </c>
      <c r="D25" s="24" t="inlineStr">
        <is>
          <t>—</t>
        </is>
      </c>
    </row>
    <row r="26">
      <c r="A26" t="inlineStr">
        <is>
          <t>Raj (GP fixed 0.5%)</t>
        </is>
      </c>
      <c r="B26" s="10" t="n">
        <v>607.02</v>
      </c>
      <c r="C26" s="13" t="n">
        <v>0.002886811362730669</v>
      </c>
      <c r="D26" s="13" t="n">
        <v>0.005</v>
      </c>
    </row>
    <row r="27">
      <c r="A27" t="inlineStr">
        <is>
          <t>Nairne (GP fixed 0.5%)</t>
        </is>
      </c>
      <c r="B27" s="10" t="n">
        <v>607.02</v>
      </c>
      <c r="C27" s="13" t="n">
        <v>0.002886811362730669</v>
      </c>
      <c r="D27" s="13" t="n">
        <v>0.005</v>
      </c>
    </row>
    <row r="28">
      <c r="A28" t="inlineStr">
        <is>
          <t>Alec (GP fixed 0.5%)</t>
        </is>
      </c>
      <c r="B28" s="10" t="n">
        <v>607.02</v>
      </c>
      <c r="C28" s="13" t="n">
        <v>0.002886811362730669</v>
      </c>
      <c r="D28" s="13" t="n">
        <v>0.005</v>
      </c>
    </row>
  </sheetData>
  <mergeCells count="2">
    <mergeCell ref="A3:N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60" customWidth="1" min="3" max="3"/>
  </cols>
  <sheetData>
    <row r="1">
      <c r="A1" s="1" t="inlineStr">
        <is>
          <t>Reconciliation Checks</t>
        </is>
      </c>
    </row>
    <row r="2">
      <c r="A2" s="11" t="inlineStr">
        <is>
          <t>Check</t>
        </is>
      </c>
      <c r="B2" s="11" t="inlineStr">
        <is>
          <t>Result</t>
        </is>
      </c>
      <c r="C2" s="11" t="inlineStr">
        <is>
          <t>Notes</t>
        </is>
      </c>
    </row>
    <row r="3">
      <c r="A3" t="inlineStr">
        <is>
          <t>Sum of per-investor Perf Fee (GP pool from TPA)</t>
        </is>
      </c>
      <c r="B3" s="10">
        <f>SUM(PI_PerfFee)</f>
        <v/>
      </c>
      <c r="C3" t="inlineStr">
        <is>
          <t>TPA crystallized total — should match the package's reported number</t>
        </is>
      </c>
    </row>
    <row r="4">
      <c r="A4" t="inlineStr">
        <is>
          <t>Sum of all per-investor split columns (H–L)</t>
        </is>
      </c>
      <c r="B4" s="10">
        <f>'Per-Investor Allocation'!H53+'Per-Investor Allocation'!I53+'Per-Investor Allocation'!J53+'Per-Investor Allocation'!K53+'Per-Investor Allocation'!L53</f>
        <v/>
      </c>
      <c r="C4" t="inlineStr">
        <is>
          <t>Should equal sum of perf fees (no leakage)</t>
        </is>
      </c>
    </row>
    <row r="5">
      <c r="A5" t="inlineStr">
        <is>
          <t>Difference (H+I+J+K+L − Perf Fee total)</t>
        </is>
      </c>
      <c r="B5">
        <f>ROUND(B4-B3,2)</f>
        <v/>
      </c>
      <c r="C5" t="inlineStr">
        <is>
          <t>Should be 0.00</t>
        </is>
      </c>
    </row>
    <row r="6">
      <c r="A6" t="inlineStr">
        <is>
          <t># investors with consultant = Unmapped</t>
        </is>
      </c>
      <c r="B6">
        <f>COUNTIF(PI_Consultant, "Unmapped")</f>
        <v/>
      </c>
      <c r="C6" t="inlineStr">
        <is>
          <t>Should be 0; if not, fix the IDS Mapping sheet</t>
        </is>
      </c>
    </row>
    <row r="7">
      <c r="A7" t="inlineStr">
        <is>
          <t>Split % sanity (must equal 100%)</t>
        </is>
      </c>
      <c r="B7">
        <f>Inputs!$B$11</f>
        <v/>
      </c>
      <c r="C7" t="inlineStr">
        <is>
          <t>Sum of all five split percentages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2026-04-27T22:02:22Z</dcterms:created>
  <dcterms:modified xmlns:dcterms="http://purl.org/dc/terms/" xmlns:xsi="http://www.w3.org/2001/XMLSchema-instance" xsi:type="dcterms:W3CDTF">2026-04-27T22:02:22Z</dcterms:modified>
</cp:coreProperties>
</file>