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Reconcili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2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164" fontId="9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53544.62</v>
      </c>
      <c r="C11" t="inlineStr">
        <is>
          <t>See 1099 Summary tab for per-consultant breakdown</t>
        </is>
      </c>
    </row>
    <row r="12">
      <c r="A12" t="inlineStr">
        <is>
          <t xml:space="preserve">  Phil (0.5% GP fixed slice)</t>
        </is>
      </c>
      <c r="B12" s="6" t="n">
        <v>946.97</v>
      </c>
      <c r="C12" t="inlineStr">
        <is>
          <t>Phil held the 0.5% slice in 2025 as a 1099 contractor</t>
        </is>
      </c>
    </row>
    <row r="13">
      <c r="A13" s="7" t="inlineStr">
        <is>
          <t xml:space="preserve">  TOTAL 1099 EXPENSES</t>
        </is>
      </c>
      <c r="B13" s="8" t="n">
        <v>54491.59</v>
      </c>
      <c r="C13" s="7" t="inlineStr"/>
    </row>
    <row r="14">
      <c r="A14" t="inlineStr"/>
      <c r="C14" t="inlineStr"/>
    </row>
    <row r="15">
      <c r="A15" s="5" t="inlineStr">
        <is>
          <t>LESS: GP-PAID OPERATING EXPENSES</t>
        </is>
      </c>
      <c r="B15" s="5" t="n"/>
      <c r="C15" s="5" t="inlineStr"/>
    </row>
    <row r="16">
      <c r="A16" t="inlineStr">
        <is>
          <t xml:space="preserve">  Vendor expenses (Chris, Insurance, PVD, Website, etc.)</t>
        </is>
      </c>
      <c r="B16" s="6" t="n">
        <v>91225</v>
      </c>
      <c r="C16" t="inlineStr">
        <is>
          <t>See GP Expenses tab. Includes items likely needing reclass (SPV loans → balance sheet, Insurance pro-rata).</t>
        </is>
      </c>
    </row>
    <row r="17">
      <c r="A17" t="inlineStr"/>
      <c r="C17" t="inlineStr"/>
    </row>
    <row r="18">
      <c r="A18" t="inlineStr">
        <is>
          <t>PARTNERSHIP NET INCOME (allocated to K-1 partners)</t>
        </is>
      </c>
      <c r="B18" s="6" t="n">
        <v>7306.439999999973</v>
      </c>
      <c r="C18" t="inlineStr">
        <is>
          <t>Gross - 1099 expenses - Op expenses. This is what flows to K-1s.</t>
        </is>
      </c>
    </row>
    <row r="19">
      <c r="A19" t="inlineStr"/>
      <c r="C19" t="inlineStr"/>
    </row>
    <row r="20">
      <c r="A20" s="5" t="inlineStr">
        <is>
          <t>K-1 ALLOCATION (per ownership: Nairne 60% / Raj 0.5%)</t>
        </is>
      </c>
      <c r="B20" s="5" t="n"/>
      <c r="C20" s="5" t="inlineStr"/>
    </row>
    <row r="21">
      <c r="A21" t="inlineStr">
        <is>
          <t xml:space="preserve">  Nairne — Fund Mgmt 59.5% slice received as cash</t>
        </is>
      </c>
      <c r="B21" s="6" t="n">
        <v>85049.86</v>
      </c>
      <c r="C21" t="inlineStr">
        <is>
          <t>Reported as K-1 income (partner allocation, not expense)</t>
        </is>
      </c>
    </row>
    <row r="22">
      <c r="A22" t="inlineStr">
        <is>
          <t xml:space="preserve">  Nairne — direct 0.5% slice received as cash</t>
        </is>
      </c>
      <c r="B22" s="6" t="n">
        <v>946.97</v>
      </c>
      <c r="C22" t="inlineStr">
        <is>
          <t>Reported as K-1 income</t>
        </is>
      </c>
    </row>
    <row r="23">
      <c r="A23" t="inlineStr">
        <is>
          <t xml:space="preserve">  Nairne — TOTAL cash received (60% of perf fees)</t>
        </is>
      </c>
      <c r="B23" s="6" t="n">
        <v>85996.83</v>
      </c>
      <c r="C23">
        <f> Fund Mgmt + direct slice</f>
        <v/>
      </c>
    </row>
    <row r="24">
      <c r="A24" t="inlineStr">
        <is>
          <t xml:space="preserve">  Raj — direct 0.5% slice received as cash</t>
        </is>
      </c>
      <c r="B24" s="6" t="n">
        <v>946.97</v>
      </c>
      <c r="C24" t="inlineStr">
        <is>
          <t>Reported as K-1 income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$54,491.59 + Nairne K-1 $85,996.83 + Raj K-1 $946.97)</t>
        </is>
      </c>
      <c r="B29" s="6" t="n">
        <v>141435.39</v>
      </c>
      <c r="C29" s="10" t="inlineStr">
        <is>
          <t>vs Gross $153,023.03 — delta $11,587.64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Phil (last name TBD)</t>
        </is>
      </c>
      <c r="B5" s="6" t="n">
        <v>946.97</v>
      </c>
      <c r="C5" t="inlineStr">
        <is>
          <t>Individual 1099</t>
        </is>
      </c>
      <c r="D5" t="inlineStr">
        <is>
          <t>0.5% GP fixed slice (held by Phil all 2025)</t>
        </is>
      </c>
      <c r="E5" t="inlineStr"/>
      <c r="F5" t="inlineStr"/>
    </row>
    <row r="6">
      <c r="A6" t="inlineStr">
        <is>
          <t>Alec Atkinson</t>
        </is>
      </c>
      <c r="B6" s="6" t="n">
        <v>38076.87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Jake Gordon</t>
        </is>
      </c>
      <c r="B7" s="6" t="n">
        <v>10388.66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AJ Affleck</t>
        </is>
      </c>
      <c r="B8" s="6" t="n">
        <v>4152.7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Issac</t>
        </is>
      </c>
      <c r="B9" s="6" t="n">
        <v>761.49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Luke</t>
        </is>
      </c>
      <c r="B10" s="6" t="n">
        <v>164.9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s="11" t="inlineStr">
        <is>
          <t>TOTAL 1099 PAYMENTS</t>
        </is>
      </c>
      <c r="B11" s="12" t="n">
        <v>54491.59</v>
      </c>
      <c r="C11" s="11" t="n"/>
      <c r="D11" s="11" t="n"/>
      <c r="E11" s="11" t="n"/>
      <c r="F11" s="11" t="n"/>
    </row>
    <row r="12"/>
    <row r="13">
      <c r="A13" s="10" t="inlineStr">
        <is>
          <t>K-1 partner cash distributions (NOT on 1099s): Nairne $85,996.83 + Raj $946.97 = $86,943.80</t>
        </is>
      </c>
    </row>
    <row r="14">
      <c r="A14" s="10" t="inlineStr">
        <is>
          <t>Cross-check: 1099 total ($54,491.59) + K-1 cash ($86,943.80) = $141,435.39; Gross perf fees per TPA = $153,023.03; delta = $11,587.64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2026-04-30: Nairne (60% — Fund Mgmt 59.5% + direct 0.5%) and Raj Duggal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99.17%</t>
        </is>
      </c>
      <c r="C5" s="6" t="n">
        <v>85996.83</v>
      </c>
      <c r="D5" s="6" t="n">
        <v>7246.056198347081</v>
      </c>
      <c r="E5" t="inlineStr"/>
    </row>
    <row r="6">
      <c r="A6" t="inlineStr">
        <is>
          <t>Raj Duggal</t>
        </is>
      </c>
      <c r="B6" t="inlineStr">
        <is>
          <t>0.83%</t>
        </is>
      </c>
      <c r="C6" s="6" t="n">
        <v>946.97</v>
      </c>
      <c r="D6" s="6" t="n">
        <v>60.38380165289234</v>
      </c>
      <c r="E6" t="inlineStr"/>
    </row>
    <row r="7"/>
    <row r="8">
      <c r="A8" s="5" t="inlineStr">
        <is>
          <t>K-1 ARITHMETIC</t>
        </is>
      </c>
    </row>
    <row r="9">
      <c r="A9" t="inlineStr">
        <is>
          <t>GP Gross Income (TPA Perf Fees Crystallized): $153,023.03</t>
        </is>
      </c>
    </row>
    <row r="10">
      <c r="A10" t="inlineStr">
        <is>
          <t>Less: 1099 contractor expenses (Alec/Jake/AJ/Phil/Issac/Luke): $54,491.59</t>
        </is>
      </c>
    </row>
    <row r="11">
      <c r="A11" t="inlineStr">
        <is>
          <t>Less: GP-paid operating expenses: $91,225.00</t>
        </is>
      </c>
    </row>
    <row r="12">
      <c r="A12">
        <f> Partnership NET INCOME (allocated to K-1s): $7,306.44</f>
        <v/>
      </c>
    </row>
    <row r="13">
      <c r="A13" t="inlineStr">
        <is>
          <t>Nairne allocated share (99.17%): $7,246.06</t>
        </is>
      </c>
    </row>
    <row r="14">
      <c r="A14" t="inlineStr">
        <is>
          <t>Raj allocated share (0.83%): $60.38</t>
        </is>
      </c>
    </row>
    <row r="15"/>
    <row r="16">
      <c r="A16" s="13" t="inlineStr">
        <is>
          <t>NOTES</t>
        </is>
      </c>
    </row>
    <row r="17" ht="30" customHeight="1">
      <c r="A17" s="14" t="inlineStr">
        <is>
          <t>Fund Mgmt 59.5% slice is Nairne's K-1 income (per Nairne 2026-04-30 — it's not a separate entity 1099).</t>
        </is>
      </c>
    </row>
    <row r="18" ht="30" customHeight="1">
      <c r="A18" s="14" t="inlineStr">
        <is>
          <t>Cash distributions and allocated K-1 net income are different things in partnership tax — Schedule K-1 reports both. The accountant will compute capital account changes.</t>
        </is>
      </c>
    </row>
    <row r="19" ht="30" customHeight="1">
      <c r="A19" s="14" t="inlineStr">
        <is>
          <t>Operating expenses include items that may be reclassed by the accountant (506c SPV Loans → balance sheet; Insurance $18k may need annual proration).</t>
        </is>
      </c>
    </row>
    <row r="20" ht="30" customHeight="1">
      <c r="A20" s="14" t="inlineStr">
        <is>
          <t>Cash-basis 1099s (above) may differ from accrual-basis (TPA-derived). Confirm GP's tax basis with accountant.</t>
        </is>
      </c>
    </row>
    <row r="21" ht="30" customHeight="1">
      <c r="A21" s="14" t="inlineStr">
        <is>
          <t>TruQuant payments are excluded per Nairne 2026-04-30 (TQ is not a GP expense).</t>
        </is>
      </c>
    </row>
    <row r="22" ht="30" customHeight="1">
      <c r="A22" s="14" t="inlineStr">
        <is>
          <t>Ownership % shown (Nairne 99.17%/Raj 0.83%) is derived from the 60/0.5 split. The actual LLC operating agreement governs — confirm with the accountant before filing.</t>
        </is>
      </c>
    </row>
  </sheetData>
  <mergeCells count="14">
    <mergeCell ref="A21:E21"/>
    <mergeCell ref="A12:E12"/>
    <mergeCell ref="A18:E18"/>
    <mergeCell ref="A20:E20"/>
    <mergeCell ref="A2:E2"/>
    <mergeCell ref="A10:E10"/>
    <mergeCell ref="A19:E19"/>
    <mergeCell ref="A11:E11"/>
    <mergeCell ref="A1:E1"/>
    <mergeCell ref="A13:E13"/>
    <mergeCell ref="A14:E14"/>
    <mergeCell ref="A22:E22"/>
    <mergeCell ref="A17:E17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5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5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5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5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5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6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6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6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6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6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6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6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6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7" t="inlineStr">
        <is>
          <t>Aug 2025 subtotal</t>
        </is>
      </c>
      <c r="B7" s="17" t="n"/>
      <c r="C7" s="18" t="n">
        <v>10275</v>
      </c>
      <c r="D7" s="17" t="n"/>
      <c r="E7" s="17" t="n"/>
    </row>
    <row r="8">
      <c r="A8" t="inlineStr">
        <is>
          <t>Sep 2025</t>
        </is>
      </c>
      <c r="B8" s="19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7" t="inlineStr">
        <is>
          <t>Oct 2025 subtotal</t>
        </is>
      </c>
      <c r="B13" s="17" t="n"/>
      <c r="C13" s="18" t="n">
        <v>43500</v>
      </c>
      <c r="D13" s="17" t="n"/>
      <c r="E13" s="17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7" t="inlineStr">
        <is>
          <t>Nov 2025 subtotal</t>
        </is>
      </c>
      <c r="B17" s="17" t="n"/>
      <c r="C17" s="18" t="n">
        <v>10350</v>
      </c>
      <c r="D17" s="17" t="n"/>
      <c r="E17" s="17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7" t="inlineStr">
        <is>
          <t>Dec 2025 subtotal</t>
        </is>
      </c>
      <c r="B22" s="17" t="n"/>
      <c r="C22" s="18" t="n">
        <v>27100</v>
      </c>
      <c r="D22" s="17" t="n"/>
      <c r="E22" s="17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3" t="inlineStr">
        <is>
          <t>Verify with user before sending to accountant</t>
        </is>
      </c>
    </row>
    <row r="27">
      <c r="A27" s="20" t="inlineStr">
        <is>
          <t>1. Insurance ($18k Dec): is this annual or already monthly-allocated? If annual, reduce to ~$1.5k for Dec.</t>
        </is>
      </c>
    </row>
    <row r="28">
      <c r="A28" s="20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0" t="inlineStr">
        <is>
          <t>3. 506c SPV Loan ($4,275 Aug + $25,000 Oct): is this an expense or a loan repayment? Expense for 1099/K-1 vs balance-sheet item.</t>
        </is>
      </c>
    </row>
    <row r="30">
      <c r="A30" s="20" t="inlineStr">
        <is>
          <t>4. PVD ($6k Aug + $6k Oct): vendor identification needed for 1099 (if individual) or just expense (if entity).</t>
        </is>
      </c>
    </row>
    <row r="31">
      <c r="A31" s="20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s="21" t="inlineStr">
        <is>
          <t>Fund Mgmt 59.5% (= Nairne K-1)</t>
        </is>
      </c>
      <c r="B5" s="22" t="n">
        <v>2815.16</v>
      </c>
      <c r="C5" s="22" t="n">
        <v>7415.62</v>
      </c>
      <c r="D5" s="22" t="n">
        <v>31206.94</v>
      </c>
      <c r="E5" s="22" t="n">
        <v>34183.9</v>
      </c>
      <c r="F5" s="22" t="n">
        <v>9428.24</v>
      </c>
      <c r="G5" s="23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6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6" t="n">
        <v>10388.66</v>
      </c>
    </row>
    <row r="8">
      <c r="A8" t="inlineStr">
        <is>
          <t>AJ Affleck</t>
        </is>
      </c>
      <c r="B8" s="6" t="n">
        <v>335.47</v>
      </c>
      <c r="C8" s="6" t="n">
        <v>285.77</v>
      </c>
      <c r="D8" s="6" t="n">
        <v>1268.23</v>
      </c>
      <c r="E8" s="6" t="n">
        <v>1833.52</v>
      </c>
      <c r="F8" s="6" t="n">
        <v>429.71</v>
      </c>
      <c r="G8" s="16" t="n">
        <v>4152.7</v>
      </c>
    </row>
    <row r="9">
      <c r="A9" s="21" t="inlineStr">
        <is>
          <t>Raj (K-1 partner)</t>
        </is>
      </c>
      <c r="B9" s="22" t="n">
        <v>255.92</v>
      </c>
      <c r="C9" s="22" t="n">
        <v>62.32</v>
      </c>
      <c r="D9" s="22" t="n">
        <v>262.24</v>
      </c>
      <c r="E9" s="22" t="n">
        <v>287.26</v>
      </c>
      <c r="F9" s="22" t="n">
        <v>79.23</v>
      </c>
      <c r="G9" s="23" t="n">
        <v>946.97</v>
      </c>
    </row>
    <row r="10">
      <c r="A10" s="21" t="inlineStr">
        <is>
          <t>Nairne (K-1 partner)</t>
        </is>
      </c>
      <c r="B10" s="22" t="n">
        <v>255.92</v>
      </c>
      <c r="C10" s="22" t="n">
        <v>62.32</v>
      </c>
      <c r="D10" s="22" t="n">
        <v>262.24</v>
      </c>
      <c r="E10" s="22" t="n">
        <v>287.26</v>
      </c>
      <c r="F10" s="22" t="n">
        <v>79.23</v>
      </c>
      <c r="G10" s="23" t="n">
        <v>946.97</v>
      </c>
    </row>
    <row r="11">
      <c r="A11" t="inlineStr">
        <is>
          <t>Phil</t>
        </is>
      </c>
      <c r="B11" s="6" t="n">
        <v>255.92</v>
      </c>
      <c r="C11" s="6" t="n">
        <v>62.32</v>
      </c>
      <c r="D11" s="6" t="n">
        <v>262.24</v>
      </c>
      <c r="E11" s="6" t="n">
        <v>287.26</v>
      </c>
      <c r="F11" s="6" t="n">
        <v>79.23</v>
      </c>
      <c r="G11" s="16" t="n">
        <v>946.97</v>
      </c>
    </row>
    <row r="12">
      <c r="A12" t="inlineStr">
        <is>
          <t>Issac</t>
        </is>
      </c>
      <c r="B12" s="6" t="n">
        <v>0</v>
      </c>
      <c r="C12" s="6" t="n">
        <v>0</v>
      </c>
      <c r="D12" s="6" t="n">
        <v>254.12</v>
      </c>
      <c r="E12" s="6" t="n">
        <v>785.85</v>
      </c>
      <c r="F12" s="6" t="n">
        <v>-278.48</v>
      </c>
      <c r="G12" s="16" t="n">
        <v>761.49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6" t="n">
        <v>164.9</v>
      </c>
    </row>
    <row r="14">
      <c r="A14" s="11" t="inlineStr">
        <is>
          <t>MONTH TOTAL (cash actually paid out)</t>
        </is>
      </c>
      <c r="B14" s="12" t="n">
        <v>8356.690000000001</v>
      </c>
      <c r="C14" s="12" t="n">
        <v>12381.17</v>
      </c>
      <c r="D14" s="12" t="n">
        <v>48583.18</v>
      </c>
      <c r="E14" s="12" t="n">
        <v>56973.74000000001</v>
      </c>
      <c r="F14" s="12" t="n">
        <v>15140.61</v>
      </c>
      <c r="G14" s="12" t="n">
        <v>141435.39</v>
      </c>
    </row>
    <row r="15">
      <c r="A15" s="10" t="inlineStr">
        <is>
          <t>TPA Perf Fees Crystallized (what was OWED)</t>
        </is>
      </c>
      <c r="B15" s="24" t="n">
        <v>15355.51</v>
      </c>
      <c r="C15" s="24" t="n">
        <v>12474.75</v>
      </c>
      <c r="D15" s="24" t="n">
        <v>51906.99</v>
      </c>
      <c r="E15" s="24" t="n">
        <v>57074.08999999997</v>
      </c>
      <c r="F15" s="24" t="n">
        <v>16211.69</v>
      </c>
      <c r="G15" s="24" t="n">
        <v>153023.03</v>
      </c>
    </row>
    <row r="16">
      <c r="A16" t="inlineStr">
        <is>
          <t>DELTA (Owed - Paid; positive = unpaid liability)</t>
        </is>
      </c>
      <c r="B16" s="25" t="n">
        <v>6998.820000000002</v>
      </c>
      <c r="C16" s="25" t="n">
        <v>93.58000000000175</v>
      </c>
      <c r="D16" s="25" t="n">
        <v>3323.809999999998</v>
      </c>
      <c r="E16" s="25" t="n">
        <v>100.3499999999622</v>
      </c>
      <c r="F16" s="25" t="n">
        <v>1071.080000000004</v>
      </c>
      <c r="G16" s="25" t="n">
        <v>11587.63999999996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506c SPV Loan</t>
        </is>
      </c>
      <c r="B5" t="inlineStr">
        <is>
          <t>Loan/SPV</t>
        </is>
      </c>
      <c r="C5" s="6" t="n">
        <v>4275</v>
      </c>
      <c r="E5" s="6" t="n">
        <v>25000</v>
      </c>
      <c r="H5" s="16" t="n">
        <v>29275</v>
      </c>
      <c r="I5" s="20" t="inlineStr">
        <is>
          <t>RECLASS: likely balance sheet item (loan/capital), not P&amp;L expense</t>
        </is>
      </c>
    </row>
    <row r="6">
      <c r="A6" t="inlineStr">
        <is>
          <t>Insurance</t>
        </is>
      </c>
      <c r="B6" t="inlineStr">
        <is>
          <t>Insurance</t>
        </is>
      </c>
      <c r="G6" s="6" t="n">
        <v>18000</v>
      </c>
      <c r="H6" s="16" t="n">
        <v>18000</v>
      </c>
      <c r="I6" s="20" t="inlineStr">
        <is>
          <t>RECLASS: likely annual D&amp;O — pro-rate to ~$7,500 for Aug-Dec</t>
        </is>
      </c>
    </row>
    <row r="7">
      <c r="A7" t="inlineStr">
        <is>
          <t>PVD</t>
        </is>
      </c>
      <c r="B7" t="inlineStr">
        <is>
          <t>PVD (verify)</t>
        </is>
      </c>
      <c r="C7" s="6" t="n">
        <v>6000</v>
      </c>
      <c r="E7" s="6" t="n">
        <v>6000</v>
      </c>
      <c r="H7" s="16" t="n">
        <v>12000</v>
      </c>
      <c r="I7" s="20" t="inlineStr">
        <is>
          <t>Vendor identification needed for 1099 obligation</t>
        </is>
      </c>
    </row>
    <row r="8">
      <c r="A8" t="inlineStr">
        <is>
          <t>Chris</t>
        </is>
      </c>
      <c r="B8" t="inlineStr">
        <is>
          <t>Payroll/Contractor</t>
        </is>
      </c>
      <c r="F8" s="6" t="n">
        <v>7500</v>
      </c>
      <c r="G8" s="6" t="n">
        <v>4000</v>
      </c>
      <c r="H8" s="16" t="n">
        <v>11500</v>
      </c>
      <c r="I8" s="20" t="inlineStr">
        <is>
          <t>Payroll/contractor — likely 1099 (already on consultant 1099 list?)</t>
        </is>
      </c>
    </row>
    <row r="9">
      <c r="A9" t="inlineStr">
        <is>
          <t>Website</t>
        </is>
      </c>
      <c r="B9" t="inlineStr">
        <is>
          <t>Marketing/Web</t>
        </is>
      </c>
      <c r="E9" s="6" t="n">
        <v>7500</v>
      </c>
      <c r="H9" s="16" t="n">
        <v>7500</v>
      </c>
      <c r="I9" s="20" t="inlineStr">
        <is>
          <t>Marketing/web build</t>
        </is>
      </c>
    </row>
    <row r="10">
      <c r="A10" t="inlineStr">
        <is>
          <t>Ad Spend</t>
        </is>
      </c>
      <c r="B10" t="inlineStr">
        <is>
          <t>Marketing/Ads</t>
        </is>
      </c>
      <c r="E10" s="6" t="n">
        <v>5000</v>
      </c>
      <c r="H10" s="16" t="n">
        <v>5000</v>
      </c>
      <c r="I10" s="20" t="inlineStr">
        <is>
          <t>Marketing — vendor breakdown needed</t>
        </is>
      </c>
    </row>
    <row r="11">
      <c r="A11" t="inlineStr">
        <is>
          <t>TPA (second line)</t>
        </is>
      </c>
      <c r="B11" t="inlineStr">
        <is>
          <t>Admin / TPA Fee</t>
        </is>
      </c>
      <c r="G11" s="6" t="n">
        <v>4500</v>
      </c>
      <c r="H11" s="16" t="n">
        <v>4500</v>
      </c>
      <c r="I11" s="20" t="inlineStr">
        <is>
          <t>VERIFY: second TPA line in Dec — separate billing or duplicate?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6" t="n">
        <v>2250</v>
      </c>
      <c r="I12" s="20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6" t="n">
        <v>600</v>
      </c>
      <c r="I13" s="20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6" t="n">
        <v>600</v>
      </c>
      <c r="I14" s="20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43500</v>
      </c>
      <c r="F15" s="12" t="n">
        <v>10350</v>
      </c>
      <c r="G15" s="12" t="n">
        <v>27100</v>
      </c>
      <c r="H15" s="12" t="n">
        <v>91225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51450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1" t="inlineStr">
        <is>
          <t>Nairne — Fund Mgmt 59.5% (Aug: 5.5%)</t>
        </is>
      </c>
      <c r="B5" s="21" t="inlineStr">
        <is>
          <t>K-1</t>
        </is>
      </c>
      <c r="C5" s="22" t="n">
        <v>2815.16</v>
      </c>
      <c r="D5" s="29" t="n">
        <v>2815.16</v>
      </c>
      <c r="E5" s="22" t="n">
        <v>7415.62</v>
      </c>
      <c r="F5" s="29" t="n">
        <v>10230.78</v>
      </c>
      <c r="G5" s="22" t="n">
        <v>31206.94</v>
      </c>
      <c r="H5" s="29" t="n">
        <v>41437.72</v>
      </c>
      <c r="I5" s="22" t="n">
        <v>34183.9</v>
      </c>
      <c r="J5" s="29" t="n">
        <v>75621.62</v>
      </c>
      <c r="K5" s="22" t="n">
        <v>9428.24</v>
      </c>
      <c r="L5" s="29" t="n">
        <v>85049.86</v>
      </c>
      <c r="M5" s="23" t="n">
        <v>85049.86</v>
      </c>
    </row>
    <row r="6">
      <c r="A6" s="21" t="inlineStr">
        <is>
          <t>Nairne — direct 0.5%</t>
        </is>
      </c>
      <c r="B6" s="21" t="inlineStr">
        <is>
          <t>K-1</t>
        </is>
      </c>
      <c r="C6" s="22" t="n">
        <v>255.92</v>
      </c>
      <c r="D6" s="29" t="n">
        <v>255.92</v>
      </c>
      <c r="E6" s="22" t="n">
        <v>62.32</v>
      </c>
      <c r="F6" s="29" t="n">
        <v>318.24</v>
      </c>
      <c r="G6" s="22" t="n">
        <v>262.24</v>
      </c>
      <c r="H6" s="29" t="n">
        <v>580.48</v>
      </c>
      <c r="I6" s="22" t="n">
        <v>287.26</v>
      </c>
      <c r="J6" s="29" t="n">
        <v>867.74</v>
      </c>
      <c r="K6" s="22" t="n">
        <v>79.23</v>
      </c>
      <c r="L6" s="29" t="n">
        <v>946.97</v>
      </c>
      <c r="M6" s="23" t="n">
        <v>946.97</v>
      </c>
    </row>
    <row r="7">
      <c r="A7" s="21" t="inlineStr">
        <is>
          <t>Raj Duggal — direct 0.5%</t>
        </is>
      </c>
      <c r="B7" s="21" t="inlineStr">
        <is>
          <t>K-1</t>
        </is>
      </c>
      <c r="C7" s="22" t="n">
        <v>255.92</v>
      </c>
      <c r="D7" s="29" t="n">
        <v>255.92</v>
      </c>
      <c r="E7" s="22" t="n">
        <v>62.32</v>
      </c>
      <c r="F7" s="29" t="n">
        <v>318.24</v>
      </c>
      <c r="G7" s="22" t="n">
        <v>262.24</v>
      </c>
      <c r="H7" s="29" t="n">
        <v>580.48</v>
      </c>
      <c r="I7" s="22" t="n">
        <v>287.26</v>
      </c>
      <c r="J7" s="29" t="n">
        <v>867.74</v>
      </c>
      <c r="K7" s="22" t="n">
        <v>79.23</v>
      </c>
      <c r="L7" s="29" t="n">
        <v>946.97</v>
      </c>
      <c r="M7" s="23" t="n">
        <v>946.97</v>
      </c>
    </row>
    <row r="8">
      <c r="A8" t="inlineStr">
        <is>
          <t>Alec Atkinson</t>
        </is>
      </c>
      <c r="B8" t="inlineStr">
        <is>
          <t>1099</t>
        </is>
      </c>
      <c r="C8" s="6" t="n">
        <v>3172.12</v>
      </c>
      <c r="D8" s="30" t="n">
        <v>3172.12</v>
      </c>
      <c r="E8" s="6" t="n">
        <v>3561.92</v>
      </c>
      <c r="F8" s="30" t="n">
        <v>6734.04</v>
      </c>
      <c r="G8" s="6" t="n">
        <v>11848.88</v>
      </c>
      <c r="H8" s="30" t="n">
        <v>18582.92</v>
      </c>
      <c r="I8" s="6" t="n">
        <v>15124.18</v>
      </c>
      <c r="J8" s="30" t="n">
        <v>33707.1</v>
      </c>
      <c r="K8" s="6" t="n">
        <v>4369.77</v>
      </c>
      <c r="L8" s="30" t="n">
        <v>38076.87</v>
      </c>
      <c r="M8" s="16" t="n">
        <v>38076.87</v>
      </c>
    </row>
    <row r="9">
      <c r="A9" t="inlineStr">
        <is>
          <t>Jake Gordon</t>
        </is>
      </c>
      <c r="B9" t="inlineStr">
        <is>
          <t>1099</t>
        </is>
      </c>
      <c r="C9" s="6" t="n">
        <v>1266.18</v>
      </c>
      <c r="D9" s="30" t="n">
        <v>1266.18</v>
      </c>
      <c r="E9" s="6" t="n">
        <v>930.9</v>
      </c>
      <c r="F9" s="30" t="n">
        <v>2197.08</v>
      </c>
      <c r="G9" s="6" t="n">
        <v>3218.29</v>
      </c>
      <c r="H9" s="30" t="n">
        <v>5415.37</v>
      </c>
      <c r="I9" s="6" t="n">
        <v>4184.51</v>
      </c>
      <c r="J9" s="30" t="n">
        <v>9599.880000000001</v>
      </c>
      <c r="K9" s="6" t="n">
        <v>788.78</v>
      </c>
      <c r="L9" s="30" t="n">
        <v>10388.66</v>
      </c>
      <c r="M9" s="16" t="n">
        <v>10388.66</v>
      </c>
    </row>
    <row r="10">
      <c r="A10" t="inlineStr">
        <is>
          <t>AJ Affleck</t>
        </is>
      </c>
      <c r="B10" t="inlineStr">
        <is>
          <t>1099</t>
        </is>
      </c>
      <c r="C10" s="6" t="n">
        <v>335.47</v>
      </c>
      <c r="D10" s="30" t="n">
        <v>335.47</v>
      </c>
      <c r="E10" s="6" t="n">
        <v>285.77</v>
      </c>
      <c r="F10" s="30" t="n">
        <v>621.24</v>
      </c>
      <c r="G10" s="6" t="n">
        <v>1268.23</v>
      </c>
      <c r="H10" s="30" t="n">
        <v>1889.47</v>
      </c>
      <c r="I10" s="6" t="n">
        <v>1833.52</v>
      </c>
      <c r="J10" s="30" t="n">
        <v>3722.99</v>
      </c>
      <c r="K10" s="6" t="n">
        <v>429.71</v>
      </c>
      <c r="L10" s="30" t="n">
        <v>4152.7</v>
      </c>
      <c r="M10" s="16" t="n">
        <v>4152.7</v>
      </c>
    </row>
    <row r="11">
      <c r="A11" t="inlineStr">
        <is>
          <t>Phil</t>
        </is>
      </c>
      <c r="B11" t="inlineStr">
        <is>
          <t>1099</t>
        </is>
      </c>
      <c r="C11" s="6" t="n">
        <v>255.92</v>
      </c>
      <c r="D11" s="30" t="n">
        <v>255.92</v>
      </c>
      <c r="E11" s="6" t="n">
        <v>62.32</v>
      </c>
      <c r="F11" s="30" t="n">
        <v>318.24</v>
      </c>
      <c r="G11" s="6" t="n">
        <v>262.24</v>
      </c>
      <c r="H11" s="30" t="n">
        <v>580.48</v>
      </c>
      <c r="I11" s="6" t="n">
        <v>287.26</v>
      </c>
      <c r="J11" s="30" t="n">
        <v>867.74</v>
      </c>
      <c r="K11" s="6" t="n">
        <v>79.23</v>
      </c>
      <c r="L11" s="30" t="n">
        <v>946.97</v>
      </c>
      <c r="M11" s="16" t="n">
        <v>946.97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6" t="n">
        <v>761.49</v>
      </c>
    </row>
    <row r="13">
      <c r="A13" t="inlineStr">
        <is>
          <t>Luke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J13" s="30" t="n">
        <v>0</v>
      </c>
      <c r="K13" s="6" t="n">
        <v>164.9</v>
      </c>
      <c r="L13" s="30" t="n">
        <v>164.9</v>
      </c>
      <c r="M13" s="16" t="n">
        <v>164.9</v>
      </c>
    </row>
    <row r="14">
      <c r="A14" s="11" t="inlineStr">
        <is>
          <t>K-1 SUBTOTAL (Nairne + Raj)</t>
        </is>
      </c>
      <c r="B14" s="11" t="inlineStr">
        <is>
          <t>K-1</t>
        </is>
      </c>
      <c r="C14" s="12" t="n">
        <v>3327</v>
      </c>
      <c r="D14" s="12" t="n">
        <v>3327</v>
      </c>
      <c r="E14" s="12" t="n">
        <v>7540.259999999999</v>
      </c>
      <c r="F14" s="12" t="n">
        <v>10867.26</v>
      </c>
      <c r="G14" s="12" t="n">
        <v>31731.42</v>
      </c>
      <c r="H14" s="12" t="n">
        <v>42598.68</v>
      </c>
      <c r="I14" s="12" t="n">
        <v>34758.42000000001</v>
      </c>
      <c r="J14" s="12" t="n">
        <v>77357.10000000001</v>
      </c>
      <c r="K14" s="12" t="n">
        <v>9586.699999999999</v>
      </c>
      <c r="L14" s="12" t="n">
        <v>86943.8</v>
      </c>
      <c r="M14" s="12" t="n">
        <v>86943.8</v>
      </c>
    </row>
    <row r="15">
      <c r="A15" s="11" t="inlineStr">
        <is>
          <t>1099 SUBTOTAL (Phil + consultants)</t>
        </is>
      </c>
      <c r="B15" s="11" t="inlineStr">
        <is>
          <t>1099</t>
        </is>
      </c>
      <c r="C15" s="12" t="n">
        <v>5029.690000000001</v>
      </c>
      <c r="D15" s="12" t="n">
        <v>5029.690000000001</v>
      </c>
      <c r="E15" s="12" t="n">
        <v>4840.91</v>
      </c>
      <c r="F15" s="12" t="n">
        <v>9870.6</v>
      </c>
      <c r="G15" s="12" t="n">
        <v>16851.76</v>
      </c>
      <c r="H15" s="12" t="n">
        <v>26722.36</v>
      </c>
      <c r="I15" s="12" t="n">
        <v>22215.32</v>
      </c>
      <c r="J15" s="12" t="n">
        <v>48937.68</v>
      </c>
      <c r="K15" s="12" t="n">
        <v>5553.91</v>
      </c>
      <c r="L15" s="12" t="n">
        <v>54491.59</v>
      </c>
      <c r="M15" s="12" t="n">
        <v>54491.59</v>
      </c>
    </row>
    <row r="16">
      <c r="A16" s="31" t="inlineStr">
        <is>
          <t>GRAND TOTAL (K-1 + 1099)</t>
        </is>
      </c>
      <c r="B16" s="31" t="inlineStr"/>
      <c r="C16" s="32" t="n">
        <v>8356.690000000001</v>
      </c>
      <c r="D16" s="32" t="n">
        <v>8356.690000000001</v>
      </c>
      <c r="E16" s="32" t="n">
        <v>12381.17</v>
      </c>
      <c r="F16" s="32" t="n">
        <v>20737.86</v>
      </c>
      <c r="G16" s="32" t="n">
        <v>48583.18</v>
      </c>
      <c r="H16" s="32" t="n">
        <v>69321.04000000001</v>
      </c>
      <c r="I16" s="32" t="n">
        <v>56973.74000000001</v>
      </c>
      <c r="J16" s="32" t="n">
        <v>126294.78</v>
      </c>
      <c r="K16" s="32" t="n">
        <v>15140.61</v>
      </c>
      <c r="L16" s="32" t="n">
        <v>141435.39</v>
      </c>
      <c r="M16" s="32" t="n">
        <v>141435.39</v>
      </c>
    </row>
    <row r="17">
      <c r="A17" s="10" t="inlineStr">
        <is>
          <t>TPA Perf Fees Crystallized (Gross GP Income)</t>
        </is>
      </c>
      <c r="B17" s="10" t="n"/>
      <c r="C17" s="24" t="n">
        <v>15355.51</v>
      </c>
      <c r="D17" s="10" t="n"/>
      <c r="E17" s="24" t="n">
        <v>12474.75</v>
      </c>
      <c r="F17" s="10" t="n"/>
      <c r="G17" s="24" t="n">
        <v>51906.99</v>
      </c>
      <c r="H17" s="10" t="n"/>
      <c r="I17" s="24" t="n">
        <v>57074.08999999997</v>
      </c>
      <c r="J17" s="10" t="n"/>
      <c r="K17" s="24" t="n">
        <v>16211.69</v>
      </c>
      <c r="L17" s="10" t="n"/>
      <c r="M17" s="24" t="n">
        <v>153023.03</v>
      </c>
    </row>
    <row r="18">
      <c r="A18" s="10" t="inlineStr">
        <is>
          <t>Op Expenses (paid from GP retained)</t>
        </is>
      </c>
      <c r="B18" s="10" t="n"/>
      <c r="C18" s="24" t="n">
        <v>10275</v>
      </c>
      <c r="D18" s="10" t="n"/>
      <c r="E18" s="10" t="n"/>
      <c r="F18" s="10" t="n"/>
      <c r="G18" s="24" t="n">
        <v>43500</v>
      </c>
      <c r="H18" s="10" t="n"/>
      <c r="I18" s="24" t="n">
        <v>10350</v>
      </c>
      <c r="J18" s="10" t="n"/>
      <c r="K18" s="24" t="n">
        <v>27100</v>
      </c>
      <c r="L18" s="10" t="n"/>
      <c r="M18" s="24" t="n">
        <v>91225</v>
      </c>
    </row>
    <row r="19"/>
    <row r="20">
      <c r="A20" s="13" t="inlineStr">
        <is>
          <t>NOTES</t>
        </is>
      </c>
    </row>
    <row r="21" ht="35" customHeight="1">
      <c r="A21" s="14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2" ht="35" customHeight="1">
      <c r="A22" s="14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3" ht="35" customHeight="1">
      <c r="A23" s="14" t="inlineStr">
        <is>
          <t>Aug 2025 used a different waterfall (Fund Mgmt was 5.5% not 59.5%). From Sep onwards: standard 59.5% Mgmt + 39% Consultant + 0.5%×3 principals.</t>
        </is>
      </c>
    </row>
    <row r="24" ht="35" customHeight="1">
      <c r="A24" s="14" t="inlineStr">
        <is>
          <t>Issac shows -$278.48 in Dec — clawback against prior month overpayment.</t>
        </is>
      </c>
    </row>
    <row r="25" ht="35" customHeight="1">
      <c r="A25" s="14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1:M21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25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2026-05-01T05:52:00Z</dcterms:created>
  <dcterms:modified xmlns:dcterms="http://purl.org/dc/terms/" xmlns:xsi="http://www.w3.org/2001/XMLSchema-instance" xsi:type="dcterms:W3CDTF">2026-05-01T05:52:01Z</dcterms:modified>
</cp:coreProperties>
</file>