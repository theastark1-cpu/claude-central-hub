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Reconciliation" sheetId="6" state="visible" r:id="rId6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  <definedName name="Costs_Total">Costs!$B$13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b val="1"/>
      <color rgb="00a78bfa"/>
    </font>
    <font>
      <b val="1"/>
      <color rgb="0093c5fd"/>
    </font>
    <font>
      <i val="1"/>
      <color rgb="0093c5fd"/>
    </font>
    <font>
      <i val="1"/>
      <color rgb="00d8b4fe"/>
    </font>
  </fonts>
  <fills count="5">
    <fill>
      <patternFill/>
    </fill>
    <fill>
      <patternFill patternType="gray125"/>
    </fill>
    <fill>
      <patternFill patternType="solid">
        <fgColor rgb="002a3550"/>
      </patternFill>
    </fill>
    <fill>
      <patternFill patternType="solid">
        <fgColor rgb="001a2236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2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6" fillId="4" borderId="0" pivotButton="0" quotePrefix="0" xfId="0"/>
    <xf numFmtId="10" fontId="6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Notes</t>
        </is>
      </c>
    </row>
    <row r="17">
      <c r="A17" s="7" t="inlineStr">
        <is>
          <t>TPA per-investor performance-fee crystallized = each investor's GP pool. Consultant attribution flows from IDS → Per-Investor Allocation → Consultant Summary. Edit the Per-Investor sheet to override perf_fee for what-if scenarios.</t>
        </is>
      </c>
    </row>
    <row r="18"/>
    <row r="19"/>
  </sheetData>
  <mergeCells count="2">
    <mergeCell ref="A17:F1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8" t="inlineStr">
        <is>
          <t>TPA ID</t>
        </is>
      </c>
      <c r="B1" s="8" t="inlineStr">
        <is>
          <t>Investor Name</t>
        </is>
      </c>
      <c r="C1" s="8" t="inlineStr">
        <is>
          <t>Position ID</t>
        </is>
      </c>
      <c r="D1" s="8" t="inlineStr">
        <is>
          <t>Consultant</t>
        </is>
      </c>
      <c r="E1" s="8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30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8" t="inlineStr">
        <is>
          <t>TPA ID</t>
        </is>
      </c>
      <c r="B1" s="8" t="inlineStr">
        <is>
          <t>Investor</t>
        </is>
      </c>
      <c r="C1" s="8" t="inlineStr">
        <is>
          <t>Consultant</t>
        </is>
      </c>
      <c r="D1" s="8" t="inlineStr">
        <is>
          <t>Begin Balance</t>
        </is>
      </c>
      <c r="E1" s="8" t="inlineStr">
        <is>
          <t>Ending Balance</t>
        </is>
      </c>
      <c r="F1" s="8" t="inlineStr">
        <is>
          <t>Gross P&amp;L</t>
        </is>
      </c>
      <c r="G1" s="8" t="inlineStr">
        <is>
          <t>Perf Fee (GP Pool)</t>
        </is>
      </c>
      <c r="H1" s="8" t="inlineStr">
        <is>
          <t>Fund Mgmt</t>
        </is>
      </c>
      <c r="I1" s="8" t="inlineStr">
        <is>
          <t>Consultant Cut</t>
        </is>
      </c>
      <c r="J1" s="8" t="inlineStr">
        <is>
          <t>Raj</t>
        </is>
      </c>
      <c r="K1" s="8" t="inlineStr">
        <is>
          <t>Nairne</t>
        </is>
      </c>
      <c r="L1" s="8" t="inlineStr">
        <is>
          <t>Alec (GP)</t>
        </is>
      </c>
      <c r="M1" s="8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 t="inlineStr">
        <is>
          <t>Alec Atkinson</t>
        </is>
      </c>
      <c r="D2" s="9" t="n">
        <v>0</v>
      </c>
      <c r="E2" s="9" t="n">
        <v>1554446.7</v>
      </c>
      <c r="F2" s="9" t="n">
        <v>52197.71</v>
      </c>
      <c r="G2" s="10" t="n">
        <v>15659.31</v>
      </c>
      <c r="H2" s="9">
        <f>G2*GP_FundMgmt_Pct</f>
        <v/>
      </c>
      <c r="I2" s="9">
        <f>G2*GP_Consultant_Pct</f>
        <v/>
      </c>
      <c r="J2" s="9">
        <f>G2*GP_Raj_Pct</f>
        <v/>
      </c>
      <c r="K2" s="9">
        <f>G2*GP_Nairne_Pct</f>
        <v/>
      </c>
      <c r="L2" s="9">
        <f>G2*GP_Alec_Pct</f>
        <v/>
      </c>
      <c r="M2" s="9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 t="inlineStr">
        <is>
          <t>Alec Atkinson</t>
        </is>
      </c>
      <c r="D3" s="9" t="n">
        <v>0</v>
      </c>
      <c r="E3" s="9" t="n">
        <v>1504802.83</v>
      </c>
      <c r="F3" s="9" t="n">
        <v>50530.69</v>
      </c>
      <c r="G3" s="10" t="n">
        <v>15159.21</v>
      </c>
      <c r="H3" s="9">
        <f>G3*GP_FundMgmt_Pct</f>
        <v/>
      </c>
      <c r="I3" s="9">
        <f>G3*GP_Consultant_Pct</f>
        <v/>
      </c>
      <c r="J3" s="9">
        <f>G3*GP_Raj_Pct</f>
        <v/>
      </c>
      <c r="K3" s="9">
        <f>G3*GP_Nairne_Pct</f>
        <v/>
      </c>
      <c r="L3" s="9">
        <f>G3*GP_Alec_Pct</f>
        <v/>
      </c>
      <c r="M3" s="9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Fund Hub SPV (Pending Split)</t>
        </is>
      </c>
      <c r="D4" s="9" t="n">
        <v>0</v>
      </c>
      <c r="E4" s="9" t="n">
        <v>889926.39</v>
      </c>
      <c r="F4" s="9" t="n">
        <v>29883.38</v>
      </c>
      <c r="G4" s="10" t="n">
        <v>8965.01</v>
      </c>
      <c r="H4" s="9">
        <f>G4*GP_FundMgmt_Pct</f>
        <v/>
      </c>
      <c r="I4" s="9">
        <f>G4*GP_Consultant_Pct</f>
        <v/>
      </c>
      <c r="J4" s="9">
        <f>G4*GP_Raj_Pct</f>
        <v/>
      </c>
      <c r="K4" s="9">
        <f>G4*GP_Nairne_Pct</f>
        <v/>
      </c>
      <c r="L4" s="9">
        <f>G4*GP_Alec_Pct</f>
        <v/>
      </c>
      <c r="M4" s="9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inlineStr">
        <is>
          <t>Alec Atkinson</t>
        </is>
      </c>
      <c r="D5" s="9" t="n">
        <v>0</v>
      </c>
      <c r="E5" s="9" t="n">
        <v>782096.09</v>
      </c>
      <c r="F5" s="9" t="n">
        <v>26262.48</v>
      </c>
      <c r="G5" s="10" t="n">
        <v>7878.74</v>
      </c>
      <c r="H5" s="9">
        <f>G5*GP_FundMgmt_Pct</f>
        <v/>
      </c>
      <c r="I5" s="9">
        <f>G5*GP_Consultant_Pct</f>
        <v/>
      </c>
      <c r="J5" s="9">
        <f>G5*GP_Raj_Pct</f>
        <v/>
      </c>
      <c r="K5" s="9">
        <f>G5*GP_Nairne_Pct</f>
        <v/>
      </c>
      <c r="L5" s="9">
        <f>G5*GP_Alec_Pct</f>
        <v/>
      </c>
      <c r="M5" s="9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Jake Gordon</t>
        </is>
      </c>
      <c r="D6" s="9" t="n">
        <v>0</v>
      </c>
      <c r="E6" s="9" t="n">
        <v>736875.59</v>
      </c>
      <c r="F6" s="9" t="n">
        <v>24752.48</v>
      </c>
      <c r="G6" s="10" t="n">
        <v>7425.74</v>
      </c>
      <c r="H6" s="9">
        <f>G6*GP_FundMgmt_Pct</f>
        <v/>
      </c>
      <c r="I6" s="9">
        <f>G6*GP_Consultant_Pct</f>
        <v/>
      </c>
      <c r="J6" s="9">
        <f>G6*GP_Raj_Pct</f>
        <v/>
      </c>
      <c r="K6" s="9">
        <f>G6*GP_Nairne_Pct</f>
        <v/>
      </c>
      <c r="L6" s="9">
        <f>G6*GP_Alec_Pct</f>
        <v/>
      </c>
      <c r="M6" s="9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Alec Atkinson</t>
        </is>
      </c>
      <c r="D7" s="9" t="n">
        <v>0</v>
      </c>
      <c r="E7" s="9" t="n">
        <v>532695.99</v>
      </c>
      <c r="F7" s="9" t="n">
        <v>17887.72</v>
      </c>
      <c r="G7" s="10" t="n">
        <v>5366.32</v>
      </c>
      <c r="H7" s="9">
        <f>G7*GP_FundMgmt_Pct</f>
        <v/>
      </c>
      <c r="I7" s="9">
        <f>G7*GP_Consultant_Pct</f>
        <v/>
      </c>
      <c r="J7" s="9">
        <f>G7*GP_Raj_Pct</f>
        <v/>
      </c>
      <c r="K7" s="9">
        <f>G7*GP_Nairne_Pct</f>
        <v/>
      </c>
      <c r="L7" s="9">
        <f>G7*GP_Alec_Pct</f>
        <v/>
      </c>
      <c r="M7" s="9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AJ Affleck</t>
        </is>
      </c>
      <c r="D8" s="9" t="n">
        <v>0</v>
      </c>
      <c r="E8" s="9" t="n">
        <v>440001.9</v>
      </c>
      <c r="F8" s="9" t="n">
        <v>14775.09</v>
      </c>
      <c r="G8" s="10" t="n">
        <v>4432.53</v>
      </c>
      <c r="H8" s="9">
        <f>G8*GP_FundMgmt_Pct</f>
        <v/>
      </c>
      <c r="I8" s="9">
        <f>G8*GP_Consultant_Pct</f>
        <v/>
      </c>
      <c r="J8" s="9">
        <f>G8*GP_Raj_Pct</f>
        <v/>
      </c>
      <c r="K8" s="9">
        <f>G8*GP_Nairne_Pct</f>
        <v/>
      </c>
      <c r="L8" s="9">
        <f>G8*GP_Alec_Pct</f>
        <v/>
      </c>
      <c r="M8" s="9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Alec Atkinson</t>
        </is>
      </c>
      <c r="D9" s="9" t="n">
        <v>0</v>
      </c>
      <c r="E9" s="9" t="n">
        <v>370633.4</v>
      </c>
      <c r="F9" s="9" t="n">
        <v>12445.73</v>
      </c>
      <c r="G9" s="10" t="n">
        <v>3733.72</v>
      </c>
      <c r="H9" s="9">
        <f>G9*GP_FundMgmt_Pct</f>
        <v/>
      </c>
      <c r="I9" s="9">
        <f>G9*GP_Consultant_Pct</f>
        <v/>
      </c>
      <c r="J9" s="9">
        <f>G9*GP_Raj_Pct</f>
        <v/>
      </c>
      <c r="K9" s="9">
        <f>G9*GP_Nairne_Pct</f>
        <v/>
      </c>
      <c r="L9" s="9">
        <f>G9*GP_Alec_Pct</f>
        <v/>
      </c>
      <c r="M9" s="9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 t="inlineStr">
        <is>
          <t>Jake Gordon</t>
        </is>
      </c>
      <c r="D10" s="9" t="n">
        <v>0</v>
      </c>
      <c r="E10" s="9" t="n">
        <v>255515.88</v>
      </c>
      <c r="F10" s="9" t="n">
        <v>8580.120000000001</v>
      </c>
      <c r="G10" s="10" t="n">
        <v>2574.04</v>
      </c>
      <c r="H10" s="9">
        <f>G10*GP_FundMgmt_Pct</f>
        <v/>
      </c>
      <c r="I10" s="9">
        <f>G10*GP_Consultant_Pct</f>
        <v/>
      </c>
      <c r="J10" s="9">
        <f>G10*GP_Raj_Pct</f>
        <v/>
      </c>
      <c r="K10" s="9">
        <f>G10*GP_Nairne_Pct</f>
        <v/>
      </c>
      <c r="L10" s="9">
        <f>G10*GP_Alec_Pct</f>
        <v/>
      </c>
      <c r="M10" s="9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 t="inlineStr">
        <is>
          <t>Jake Gordon</t>
        </is>
      </c>
      <c r="D11" s="9" t="n">
        <v>0</v>
      </c>
      <c r="E11" s="9" t="n">
        <v>252800.89</v>
      </c>
      <c r="F11" s="9" t="n">
        <v>8488.959999999999</v>
      </c>
      <c r="G11" s="10" t="n">
        <v>2546.69</v>
      </c>
      <c r="H11" s="9">
        <f>G11*GP_FundMgmt_Pct</f>
        <v/>
      </c>
      <c r="I11" s="9">
        <f>G11*GP_Consultant_Pct</f>
        <v/>
      </c>
      <c r="J11" s="9">
        <f>G11*GP_Raj_Pct</f>
        <v/>
      </c>
      <c r="K11" s="9">
        <f>G11*GP_Nairne_Pct</f>
        <v/>
      </c>
      <c r="L11" s="9">
        <f>G11*GP_Alec_Pct</f>
        <v/>
      </c>
      <c r="M11" s="9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Jake Gordon</t>
        </is>
      </c>
      <c r="D12" s="9" t="n">
        <v>0</v>
      </c>
      <c r="E12" s="9" t="n">
        <v>206967.8</v>
      </c>
      <c r="F12" s="9" t="n">
        <v>6949.9</v>
      </c>
      <c r="G12" s="10" t="n">
        <v>2084.97</v>
      </c>
      <c r="H12" s="9">
        <f>G12*GP_FundMgmt_Pct</f>
        <v/>
      </c>
      <c r="I12" s="9">
        <f>G12*GP_Consultant_Pct</f>
        <v/>
      </c>
      <c r="J12" s="9">
        <f>G12*GP_Raj_Pct</f>
        <v/>
      </c>
      <c r="K12" s="9">
        <f>G12*GP_Nairne_Pct</f>
        <v/>
      </c>
      <c r="L12" s="9">
        <f>G12*GP_Alec_Pct</f>
        <v/>
      </c>
      <c r="M12" s="9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Alec Atkinson</t>
        </is>
      </c>
      <c r="D13" s="9" t="n">
        <v>0</v>
      </c>
      <c r="E13" s="9" t="n">
        <v>206861.77</v>
      </c>
      <c r="F13" s="9" t="n">
        <v>6946.34</v>
      </c>
      <c r="G13" s="10" t="n">
        <v>2083.9</v>
      </c>
      <c r="H13" s="9">
        <f>G13*GP_FundMgmt_Pct</f>
        <v/>
      </c>
      <c r="I13" s="9">
        <f>G13*GP_Consultant_Pct</f>
        <v/>
      </c>
      <c r="J13" s="9">
        <f>G13*GP_Raj_Pct</f>
        <v/>
      </c>
      <c r="K13" s="9">
        <f>G13*GP_Nairne_Pct</f>
        <v/>
      </c>
      <c r="L13" s="9">
        <f>G13*GP_Alec_Pct</f>
        <v/>
      </c>
      <c r="M13" s="9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 t="inlineStr">
        <is>
          <t>Alec Atkinson</t>
        </is>
      </c>
      <c r="D14" s="9" t="n">
        <v>0</v>
      </c>
      <c r="E14" s="9" t="n">
        <v>205186.49</v>
      </c>
      <c r="F14" s="9" t="n">
        <v>6890.08</v>
      </c>
      <c r="G14" s="10" t="n">
        <v>2067.02</v>
      </c>
      <c r="H14" s="9">
        <f>G14*GP_FundMgmt_Pct</f>
        <v/>
      </c>
      <c r="I14" s="9">
        <f>G14*GP_Consultant_Pct</f>
        <v/>
      </c>
      <c r="J14" s="9">
        <f>G14*GP_Raj_Pct</f>
        <v/>
      </c>
      <c r="K14" s="9">
        <f>G14*GP_Nairne_Pct</f>
        <v/>
      </c>
      <c r="L14" s="9">
        <f>G14*GP_Alec_Pct</f>
        <v/>
      </c>
      <c r="M14" s="9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 t="inlineStr">
        <is>
          <t>Alec Atkinson</t>
        </is>
      </c>
      <c r="D15" s="9" t="n">
        <v>0</v>
      </c>
      <c r="E15" s="9" t="n">
        <v>188159.19</v>
      </c>
      <c r="F15" s="9" t="n">
        <v>6318.31</v>
      </c>
      <c r="G15" s="10" t="n">
        <v>1895.49</v>
      </c>
      <c r="H15" s="9">
        <f>G15*GP_FundMgmt_Pct</f>
        <v/>
      </c>
      <c r="I15" s="9">
        <f>G15*GP_Consultant_Pct</f>
        <v/>
      </c>
      <c r="J15" s="9">
        <f>G15*GP_Raj_Pct</f>
        <v/>
      </c>
      <c r="K15" s="9">
        <f>G15*GP_Nairne_Pct</f>
        <v/>
      </c>
      <c r="L15" s="9">
        <f>G15*GP_Alec_Pct</f>
        <v/>
      </c>
      <c r="M15" s="9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 t="inlineStr">
        <is>
          <t>Alec Atkinson</t>
        </is>
      </c>
      <c r="D16" s="9" t="n">
        <v>0</v>
      </c>
      <c r="E16" s="9" t="n">
        <v>181498.82</v>
      </c>
      <c r="F16" s="9" t="n">
        <v>6094.66</v>
      </c>
      <c r="G16" s="10" t="n">
        <v>1828.4</v>
      </c>
      <c r="H16" s="9">
        <f>G16*GP_FundMgmt_Pct</f>
        <v/>
      </c>
      <c r="I16" s="9">
        <f>G16*GP_Consultant_Pct</f>
        <v/>
      </c>
      <c r="J16" s="9">
        <f>G16*GP_Raj_Pct</f>
        <v/>
      </c>
      <c r="K16" s="9">
        <f>G16*GP_Nairne_Pct</f>
        <v/>
      </c>
      <c r="L16" s="9">
        <f>G16*GP_Alec_Pct</f>
        <v/>
      </c>
      <c r="M16" s="9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Jake Gordon</t>
        </is>
      </c>
      <c r="D17" s="9" t="n">
        <v>0</v>
      </c>
      <c r="E17" s="9" t="n">
        <v>167373.38</v>
      </c>
      <c r="F17" s="9" t="n">
        <v>5620.33</v>
      </c>
      <c r="G17" s="10" t="n">
        <v>1686.1</v>
      </c>
      <c r="H17" s="9">
        <f>G17*GP_FundMgmt_Pct</f>
        <v/>
      </c>
      <c r="I17" s="9">
        <f>G17*GP_Consultant_Pct</f>
        <v/>
      </c>
      <c r="J17" s="9">
        <f>G17*GP_Raj_Pct</f>
        <v/>
      </c>
      <c r="K17" s="9">
        <f>G17*GP_Nairne_Pct</f>
        <v/>
      </c>
      <c r="L17" s="9">
        <f>G17*GP_Alec_Pct</f>
        <v/>
      </c>
      <c r="M17" s="9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inlineStr">
        <is>
          <t>Alec Atkinson</t>
        </is>
      </c>
      <c r="D18" s="9" t="n">
        <v>0</v>
      </c>
      <c r="E18" s="9" t="n">
        <v>155614.84</v>
      </c>
      <c r="F18" s="9" t="n">
        <v>5225.49</v>
      </c>
      <c r="G18" s="10" t="n">
        <v>1567.65</v>
      </c>
      <c r="H18" s="9">
        <f>G18*GP_FundMgmt_Pct</f>
        <v/>
      </c>
      <c r="I18" s="9">
        <f>G18*GP_Consultant_Pct</f>
        <v/>
      </c>
      <c r="J18" s="9">
        <f>G18*GP_Raj_Pct</f>
        <v/>
      </c>
      <c r="K18" s="9">
        <f>G18*GP_Nairne_Pct</f>
        <v/>
      </c>
      <c r="L18" s="9">
        <f>G18*GP_Alec_Pct</f>
        <v/>
      </c>
      <c r="M18" s="9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 t="inlineStr">
        <is>
          <t>Alec Atkinson</t>
        </is>
      </c>
      <c r="D19" s="9" t="n">
        <v>0</v>
      </c>
      <c r="E19" s="9" t="n">
        <v>153610.73</v>
      </c>
      <c r="F19" s="9" t="n">
        <v>5158.19</v>
      </c>
      <c r="G19" s="10" t="n">
        <v>1547.46</v>
      </c>
      <c r="H19" s="9">
        <f>G19*GP_FundMgmt_Pct</f>
        <v/>
      </c>
      <c r="I19" s="9">
        <f>G19*GP_Consultant_Pct</f>
        <v/>
      </c>
      <c r="J19" s="9">
        <f>G19*GP_Raj_Pct</f>
        <v/>
      </c>
      <c r="K19" s="9">
        <f>G19*GP_Nairne_Pct</f>
        <v/>
      </c>
      <c r="L19" s="9">
        <f>G19*GP_Alec_Pct</f>
        <v/>
      </c>
      <c r="M19" s="9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inlineStr">
        <is>
          <t>Alec Atkinson</t>
        </is>
      </c>
      <c r="D20" s="9" t="n">
        <v>0</v>
      </c>
      <c r="E20" s="9" t="n">
        <v>149013.12</v>
      </c>
      <c r="F20" s="9" t="n">
        <v>5003.8</v>
      </c>
      <c r="G20" s="10" t="n">
        <v>1501.14</v>
      </c>
      <c r="H20" s="9">
        <f>G20*GP_FundMgmt_Pct</f>
        <v/>
      </c>
      <c r="I20" s="9">
        <f>G20*GP_Consultant_Pct</f>
        <v/>
      </c>
      <c r="J20" s="9">
        <f>G20*GP_Raj_Pct</f>
        <v/>
      </c>
      <c r="K20" s="9">
        <f>G20*GP_Nairne_Pct</f>
        <v/>
      </c>
      <c r="L20" s="9">
        <f>G20*GP_Alec_Pct</f>
        <v/>
      </c>
      <c r="M20" s="9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 t="inlineStr">
        <is>
          <t>Alec Atkinson</t>
        </is>
      </c>
      <c r="D21" s="9" t="n">
        <v>0</v>
      </c>
      <c r="E21" s="9" t="n">
        <v>131452.82</v>
      </c>
      <c r="F21" s="9" t="n">
        <v>4414.13</v>
      </c>
      <c r="G21" s="10" t="n">
        <v>1324.24</v>
      </c>
      <c r="H21" s="9">
        <f>G21*GP_FundMgmt_Pct</f>
        <v/>
      </c>
      <c r="I21" s="9">
        <f>G21*GP_Consultant_Pct</f>
        <v/>
      </c>
      <c r="J21" s="9">
        <f>G21*GP_Raj_Pct</f>
        <v/>
      </c>
      <c r="K21" s="9">
        <f>G21*GP_Nairne_Pct</f>
        <v/>
      </c>
      <c r="L21" s="9">
        <f>G21*GP_Alec_Pct</f>
        <v/>
      </c>
      <c r="M21" s="9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Jake Gordon</t>
        </is>
      </c>
      <c r="D22" s="9" t="n">
        <v>0</v>
      </c>
      <c r="E22" s="9" t="n">
        <v>124076.49</v>
      </c>
      <c r="F22" s="9" t="n">
        <v>4166.44</v>
      </c>
      <c r="G22" s="10" t="n">
        <v>1249.93</v>
      </c>
      <c r="H22" s="9">
        <f>G22*GP_FundMgmt_Pct</f>
        <v/>
      </c>
      <c r="I22" s="9">
        <f>G22*GP_Consultant_Pct</f>
        <v/>
      </c>
      <c r="J22" s="9">
        <f>G22*GP_Raj_Pct</f>
        <v/>
      </c>
      <c r="K22" s="9">
        <f>G22*GP_Nairne_Pct</f>
        <v/>
      </c>
      <c r="L22" s="9">
        <f>G22*GP_Alec_Pct</f>
        <v/>
      </c>
      <c r="M22" s="9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 t="inlineStr">
        <is>
          <t>Alec Atkinson</t>
        </is>
      </c>
      <c r="D23" s="9" t="n">
        <v>0</v>
      </c>
      <c r="E23" s="9" t="n">
        <v>120660.73</v>
      </c>
      <c r="F23" s="9" t="n">
        <v>4051.74</v>
      </c>
      <c r="G23" s="10" t="n">
        <v>1215.52</v>
      </c>
      <c r="H23" s="9">
        <f>G23*GP_FundMgmt_Pct</f>
        <v/>
      </c>
      <c r="I23" s="9">
        <f>G23*GP_Consultant_Pct</f>
        <v/>
      </c>
      <c r="J23" s="9">
        <f>G23*GP_Raj_Pct</f>
        <v/>
      </c>
      <c r="K23" s="9">
        <f>G23*GP_Nairne_Pct</f>
        <v/>
      </c>
      <c r="L23" s="9">
        <f>G23*GP_Alec_Pct</f>
        <v/>
      </c>
      <c r="M23" s="9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 t="inlineStr">
        <is>
          <t>Alec Atkinson</t>
        </is>
      </c>
      <c r="D24" s="9" t="n">
        <v>0</v>
      </c>
      <c r="E24" s="9" t="n">
        <v>117281.71</v>
      </c>
      <c r="F24" s="9" t="n">
        <v>3938.27</v>
      </c>
      <c r="G24" s="10" t="n">
        <v>1181.48</v>
      </c>
      <c r="H24" s="9">
        <f>G24*GP_FundMgmt_Pct</f>
        <v/>
      </c>
      <c r="I24" s="9">
        <f>G24*GP_Consultant_Pct</f>
        <v/>
      </c>
      <c r="J24" s="9">
        <f>G24*GP_Raj_Pct</f>
        <v/>
      </c>
      <c r="K24" s="9">
        <f>G24*GP_Nairne_Pct</f>
        <v/>
      </c>
      <c r="L24" s="9">
        <f>G24*GP_Alec_Pct</f>
        <v/>
      </c>
      <c r="M24" s="9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 t="inlineStr">
        <is>
          <t>Alec Atkinson</t>
        </is>
      </c>
      <c r="D25" s="9" t="n">
        <v>0</v>
      </c>
      <c r="E25" s="9" t="n">
        <v>117028.98</v>
      </c>
      <c r="F25" s="9" t="n">
        <v>3929.79</v>
      </c>
      <c r="G25" s="10" t="n">
        <v>1178.94</v>
      </c>
      <c r="H25" s="9">
        <f>G25*GP_FundMgmt_Pct</f>
        <v/>
      </c>
      <c r="I25" s="9">
        <f>G25*GP_Consultant_Pct</f>
        <v/>
      </c>
      <c r="J25" s="9">
        <f>G25*GP_Raj_Pct</f>
        <v/>
      </c>
      <c r="K25" s="9">
        <f>G25*GP_Nairne_Pct</f>
        <v/>
      </c>
      <c r="L25" s="9">
        <f>G25*GP_Alec_Pct</f>
        <v/>
      </c>
      <c r="M25" s="9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inlineStr">
        <is>
          <t>AJ Affleck</t>
        </is>
      </c>
      <c r="D26" s="9" t="n">
        <v>0</v>
      </c>
      <c r="E26" s="9" t="n">
        <v>115616.76</v>
      </c>
      <c r="F26" s="9" t="n">
        <v>3882.37</v>
      </c>
      <c r="G26" s="10" t="n">
        <v>1164.71</v>
      </c>
      <c r="H26" s="9">
        <f>G26*GP_FundMgmt_Pct</f>
        <v/>
      </c>
      <c r="I26" s="9">
        <f>G26*GP_Consultant_Pct</f>
        <v/>
      </c>
      <c r="J26" s="9">
        <f>G26*GP_Raj_Pct</f>
        <v/>
      </c>
      <c r="K26" s="9">
        <f>G26*GP_Nairne_Pct</f>
        <v/>
      </c>
      <c r="L26" s="9">
        <f>G26*GP_Alec_Pct</f>
        <v/>
      </c>
      <c r="M26" s="9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Alec Atkinson</t>
        </is>
      </c>
      <c r="D27" s="9" t="n">
        <v>0</v>
      </c>
      <c r="E27" s="9" t="n">
        <v>114834.83</v>
      </c>
      <c r="F27" s="9" t="n">
        <v>3856.11</v>
      </c>
      <c r="G27" s="10" t="n">
        <v>1156.83</v>
      </c>
      <c r="H27" s="9">
        <f>G27*GP_FundMgmt_Pct</f>
        <v/>
      </c>
      <c r="I27" s="9">
        <f>G27*GP_Consultant_Pct</f>
        <v/>
      </c>
      <c r="J27" s="9">
        <f>G27*GP_Raj_Pct</f>
        <v/>
      </c>
      <c r="K27" s="9">
        <f>G27*GP_Nairne_Pct</f>
        <v/>
      </c>
      <c r="L27" s="9">
        <f>G27*GP_Alec_Pct</f>
        <v/>
      </c>
      <c r="M27" s="9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inlineStr">
        <is>
          <t>Alec Atkinson</t>
        </is>
      </c>
      <c r="D28" s="9" t="n">
        <v>0</v>
      </c>
      <c r="E28" s="9" t="n">
        <v>113941.39</v>
      </c>
      <c r="F28" s="9" t="n">
        <v>3826.11</v>
      </c>
      <c r="G28" s="10" t="n">
        <v>1147.83</v>
      </c>
      <c r="H28" s="9">
        <f>G28*GP_FundMgmt_Pct</f>
        <v/>
      </c>
      <c r="I28" s="9">
        <f>G28*GP_Consultant_Pct</f>
        <v/>
      </c>
      <c r="J28" s="9">
        <f>G28*GP_Raj_Pct</f>
        <v/>
      </c>
      <c r="K28" s="9">
        <f>G28*GP_Nairne_Pct</f>
        <v/>
      </c>
      <c r="L28" s="9">
        <f>G28*GP_Alec_Pct</f>
        <v/>
      </c>
      <c r="M28" s="9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Alec Atkinson</t>
        </is>
      </c>
      <c r="D29" s="9" t="n">
        <v>0</v>
      </c>
      <c r="E29" s="9" t="n">
        <v>113327.33</v>
      </c>
      <c r="F29" s="9" t="n">
        <v>3805.49</v>
      </c>
      <c r="G29" s="10" t="n">
        <v>1141.65</v>
      </c>
      <c r="H29" s="9">
        <f>G29*GP_FundMgmt_Pct</f>
        <v/>
      </c>
      <c r="I29" s="9">
        <f>G29*GP_Consultant_Pct</f>
        <v/>
      </c>
      <c r="J29" s="9">
        <f>G29*GP_Raj_Pct</f>
        <v/>
      </c>
      <c r="K29" s="9">
        <f>G29*GP_Nairne_Pct</f>
        <v/>
      </c>
      <c r="L29" s="9">
        <f>G29*GP_Alec_Pct</f>
        <v/>
      </c>
      <c r="M29" s="9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Alec Atkinson</t>
        </is>
      </c>
      <c r="D30" s="9" t="n">
        <v>0</v>
      </c>
      <c r="E30" s="9" t="n">
        <v>113327.33</v>
      </c>
      <c r="F30" s="9" t="n">
        <v>3805.49</v>
      </c>
      <c r="G30" s="10" t="n">
        <v>1141.65</v>
      </c>
      <c r="H30" s="9">
        <f>G30*GP_FundMgmt_Pct</f>
        <v/>
      </c>
      <c r="I30" s="9">
        <f>G30*GP_Consultant_Pct</f>
        <v/>
      </c>
      <c r="J30" s="9">
        <f>G30*GP_Raj_Pct</f>
        <v/>
      </c>
      <c r="K30" s="9">
        <f>G30*GP_Nairne_Pct</f>
        <v/>
      </c>
      <c r="L30" s="9">
        <f>G30*GP_Alec_Pct</f>
        <v/>
      </c>
      <c r="M30" s="9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Alec Atkinson</t>
        </is>
      </c>
      <c r="D31" s="9" t="n">
        <v>0</v>
      </c>
      <c r="E31" s="9" t="n">
        <v>112365.21</v>
      </c>
      <c r="F31" s="9" t="n">
        <v>3773.18</v>
      </c>
      <c r="G31" s="10" t="n">
        <v>1131.95</v>
      </c>
      <c r="H31" s="9">
        <f>G31*GP_FundMgmt_Pct</f>
        <v/>
      </c>
      <c r="I31" s="9">
        <f>G31*GP_Consultant_Pct</f>
        <v/>
      </c>
      <c r="J31" s="9">
        <f>G31*GP_Raj_Pct</f>
        <v/>
      </c>
      <c r="K31" s="9">
        <f>G31*GP_Nairne_Pct</f>
        <v/>
      </c>
      <c r="L31" s="9">
        <f>G31*GP_Alec_Pct</f>
        <v/>
      </c>
      <c r="M31" s="9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Jake Gordon</t>
        </is>
      </c>
      <c r="D32" s="9" t="n">
        <v>0</v>
      </c>
      <c r="E32" s="9" t="n">
        <v>112363.57</v>
      </c>
      <c r="F32" s="9" t="n">
        <v>3773.12</v>
      </c>
      <c r="G32" s="10" t="n">
        <v>1131.94</v>
      </c>
      <c r="H32" s="9">
        <f>G32*GP_FundMgmt_Pct</f>
        <v/>
      </c>
      <c r="I32" s="9">
        <f>G32*GP_Consultant_Pct</f>
        <v/>
      </c>
      <c r="J32" s="9">
        <f>G32*GP_Raj_Pct</f>
        <v/>
      </c>
      <c r="K32" s="9">
        <f>G32*GP_Nairne_Pct</f>
        <v/>
      </c>
      <c r="L32" s="9">
        <f>G32*GP_Alec_Pct</f>
        <v/>
      </c>
      <c r="M32" s="9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Alec Atkinson</t>
        </is>
      </c>
      <c r="D33" s="9" t="n">
        <v>0</v>
      </c>
      <c r="E33" s="9" t="n">
        <v>111426.88</v>
      </c>
      <c r="F33" s="9" t="n">
        <v>3741.67</v>
      </c>
      <c r="G33" s="10" t="n">
        <v>1122.5</v>
      </c>
      <c r="H33" s="9">
        <f>G33*GP_FundMgmt_Pct</f>
        <v/>
      </c>
      <c r="I33" s="9">
        <f>G33*GP_Consultant_Pct</f>
        <v/>
      </c>
      <c r="J33" s="9">
        <f>G33*GP_Raj_Pct</f>
        <v/>
      </c>
      <c r="K33" s="9">
        <f>G33*GP_Nairne_Pct</f>
        <v/>
      </c>
      <c r="L33" s="9">
        <f>G33*GP_Alec_Pct</f>
        <v/>
      </c>
      <c r="M33" s="9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Jake Gordon</t>
        </is>
      </c>
      <c r="D34" s="9" t="n">
        <v>0</v>
      </c>
      <c r="E34" s="9" t="n">
        <v>111426.88</v>
      </c>
      <c r="F34" s="9" t="n">
        <v>3741.67</v>
      </c>
      <c r="G34" s="10" t="n">
        <v>1122.5</v>
      </c>
      <c r="H34" s="9">
        <f>G34*GP_FundMgmt_Pct</f>
        <v/>
      </c>
      <c r="I34" s="9">
        <f>G34*GP_Consultant_Pct</f>
        <v/>
      </c>
      <c r="J34" s="9">
        <f>G34*GP_Raj_Pct</f>
        <v/>
      </c>
      <c r="K34" s="9">
        <f>G34*GP_Nairne_Pct</f>
        <v/>
      </c>
      <c r="L34" s="9">
        <f>G34*GP_Alec_Pct</f>
        <v/>
      </c>
      <c r="M34" s="9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Alec Atkinson</t>
        </is>
      </c>
      <c r="D35" s="9" t="n">
        <v>0</v>
      </c>
      <c r="E35" s="9" t="n">
        <v>109650.6</v>
      </c>
      <c r="F35" s="9" t="n">
        <v>3682.02</v>
      </c>
      <c r="G35" s="10" t="n">
        <v>1104.61</v>
      </c>
      <c r="H35" s="9">
        <f>G35*GP_FundMgmt_Pct</f>
        <v/>
      </c>
      <c r="I35" s="9">
        <f>G35*GP_Consultant_Pct</f>
        <v/>
      </c>
      <c r="J35" s="9">
        <f>G35*GP_Raj_Pct</f>
        <v/>
      </c>
      <c r="K35" s="9">
        <f>G35*GP_Nairne_Pct</f>
        <v/>
      </c>
      <c r="L35" s="9">
        <f>G35*GP_Alec_Pct</f>
        <v/>
      </c>
      <c r="M35" s="9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AJ Affleck</t>
        </is>
      </c>
      <c r="D36" s="9" t="n">
        <v>0</v>
      </c>
      <c r="E36" s="9" t="n">
        <v>109173.32</v>
      </c>
      <c r="F36" s="9" t="n">
        <v>3666</v>
      </c>
      <c r="G36" s="10" t="n">
        <v>1099.8</v>
      </c>
      <c r="H36" s="9">
        <f>G36*GP_FundMgmt_Pct</f>
        <v/>
      </c>
      <c r="I36" s="9">
        <f>G36*GP_Consultant_Pct</f>
        <v/>
      </c>
      <c r="J36" s="9">
        <f>G36*GP_Raj_Pct</f>
        <v/>
      </c>
      <c r="K36" s="9">
        <f>G36*GP_Nairne_Pct</f>
        <v/>
      </c>
      <c r="L36" s="9">
        <f>G36*GP_Alec_Pct</f>
        <v/>
      </c>
      <c r="M36" s="9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Luke</t>
        </is>
      </c>
      <c r="D37" s="9" t="n">
        <v>0</v>
      </c>
      <c r="E37" s="9" t="n">
        <v>109123.67</v>
      </c>
      <c r="F37" s="9" t="n">
        <v>3664.33</v>
      </c>
      <c r="G37" s="10" t="n">
        <v>1099.3</v>
      </c>
      <c r="H37" s="9">
        <f>G37*GP_FundMgmt_Pct</f>
        <v/>
      </c>
      <c r="I37" s="9">
        <f>G37*GP_Consultant_Pct</f>
        <v/>
      </c>
      <c r="J37" s="9">
        <f>G37*GP_Raj_Pct</f>
        <v/>
      </c>
      <c r="K37" s="9">
        <f>G37*GP_Nairne_Pct</f>
        <v/>
      </c>
      <c r="L37" s="9">
        <f>G37*GP_Alec_Pct</f>
        <v/>
      </c>
      <c r="M37" s="9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AJ Affleck</t>
        </is>
      </c>
      <c r="D38" s="9" t="n">
        <v>0</v>
      </c>
      <c r="E38" s="9" t="n">
        <v>109123.67</v>
      </c>
      <c r="F38" s="9" t="n">
        <v>3664.33</v>
      </c>
      <c r="G38" s="10" t="n">
        <v>1099.3</v>
      </c>
      <c r="H38" s="9">
        <f>G38*GP_FundMgmt_Pct</f>
        <v/>
      </c>
      <c r="I38" s="9">
        <f>G38*GP_Consultant_Pct</f>
        <v/>
      </c>
      <c r="J38" s="9">
        <f>G38*GP_Raj_Pct</f>
        <v/>
      </c>
      <c r="K38" s="9">
        <f>G38*GP_Nairne_Pct</f>
        <v/>
      </c>
      <c r="L38" s="9">
        <f>G38*GP_Alec_Pct</f>
        <v/>
      </c>
      <c r="M38" s="9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Luke</t>
        </is>
      </c>
      <c r="D39" s="9" t="n">
        <v>0</v>
      </c>
      <c r="E39" s="9" t="n">
        <v>108565.29</v>
      </c>
      <c r="F39" s="9" t="n">
        <v>3645.58</v>
      </c>
      <c r="G39" s="10" t="n">
        <v>1093.67</v>
      </c>
      <c r="H39" s="9">
        <f>G39*GP_FundMgmt_Pct</f>
        <v/>
      </c>
      <c r="I39" s="9">
        <f>G39*GP_Consultant_Pct</f>
        <v/>
      </c>
      <c r="J39" s="9">
        <f>G39*GP_Raj_Pct</f>
        <v/>
      </c>
      <c r="K39" s="9">
        <f>G39*GP_Nairne_Pct</f>
        <v/>
      </c>
      <c r="L39" s="9">
        <f>G39*GP_Alec_Pct</f>
        <v/>
      </c>
      <c r="M39" s="9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Alec Atkinson</t>
        </is>
      </c>
      <c r="D40" s="9" t="n">
        <v>0</v>
      </c>
      <c r="E40" s="9" t="n">
        <v>104520.17</v>
      </c>
      <c r="F40" s="9" t="n">
        <v>3509.75</v>
      </c>
      <c r="G40" s="10" t="n">
        <v>1052.92</v>
      </c>
      <c r="H40" s="9">
        <f>G40*GP_FundMgmt_Pct</f>
        <v/>
      </c>
      <c r="I40" s="9">
        <f>G40*GP_Consultant_Pct</f>
        <v/>
      </c>
      <c r="J40" s="9">
        <f>G40*GP_Raj_Pct</f>
        <v/>
      </c>
      <c r="K40" s="9">
        <f>G40*GP_Nairne_Pct</f>
        <v/>
      </c>
      <c r="L40" s="9">
        <f>G40*GP_Alec_Pct</f>
        <v/>
      </c>
      <c r="M40" s="9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Alec Atkinson</t>
        </is>
      </c>
      <c r="D41" s="9" t="n">
        <v>0</v>
      </c>
      <c r="E41" s="9" t="n">
        <v>103481.71</v>
      </c>
      <c r="F41" s="9" t="n">
        <v>3474.88</v>
      </c>
      <c r="G41" s="10" t="n">
        <v>1042.46</v>
      </c>
      <c r="H41" s="9">
        <f>G41*GP_FundMgmt_Pct</f>
        <v/>
      </c>
      <c r="I41" s="9">
        <f>G41*GP_Consultant_Pct</f>
        <v/>
      </c>
      <c r="J41" s="9">
        <f>G41*GP_Raj_Pct</f>
        <v/>
      </c>
      <c r="K41" s="9">
        <f>G41*GP_Nairne_Pct</f>
        <v/>
      </c>
      <c r="L41" s="9">
        <f>G41*GP_Alec_Pct</f>
        <v/>
      </c>
      <c r="M41" s="9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Alec Atkinson</t>
        </is>
      </c>
      <c r="D42" s="9" t="n">
        <v>0</v>
      </c>
      <c r="E42" s="9" t="n">
        <v>103430.88</v>
      </c>
      <c r="F42" s="9" t="n">
        <v>3473.17</v>
      </c>
      <c r="G42" s="10" t="n">
        <v>1041.95</v>
      </c>
      <c r="H42" s="9">
        <f>G42*GP_FundMgmt_Pct</f>
        <v/>
      </c>
      <c r="I42" s="9">
        <f>G42*GP_Consultant_Pct</f>
        <v/>
      </c>
      <c r="J42" s="9">
        <f>G42*GP_Raj_Pct</f>
        <v/>
      </c>
      <c r="K42" s="9">
        <f>G42*GP_Nairne_Pct</f>
        <v/>
      </c>
      <c r="L42" s="9">
        <f>G42*GP_Alec_Pct</f>
        <v/>
      </c>
      <c r="M42" s="9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Alec Atkinson</t>
        </is>
      </c>
      <c r="D43" s="9" t="n">
        <v>0</v>
      </c>
      <c r="E43" s="9" t="n">
        <v>103412.44</v>
      </c>
      <c r="F43" s="9" t="n">
        <v>3472.55</v>
      </c>
      <c r="G43" s="10" t="n">
        <v>1041.76</v>
      </c>
      <c r="H43" s="9">
        <f>G43*GP_FundMgmt_Pct</f>
        <v/>
      </c>
      <c r="I43" s="9">
        <f>G43*GP_Consultant_Pct</f>
        <v/>
      </c>
      <c r="J43" s="9">
        <f>G43*GP_Raj_Pct</f>
        <v/>
      </c>
      <c r="K43" s="9">
        <f>G43*GP_Nairne_Pct</f>
        <v/>
      </c>
      <c r="L43" s="9">
        <f>G43*GP_Alec_Pct</f>
        <v/>
      </c>
      <c r="M43" s="9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 t="inlineStr">
        <is>
          <t>Alec Atkinson</t>
        </is>
      </c>
      <c r="D44" s="9" t="n">
        <v>0</v>
      </c>
      <c r="E44" s="9" t="n">
        <v>102407.15</v>
      </c>
      <c r="F44" s="9" t="n">
        <v>3438.79</v>
      </c>
      <c r="G44" s="10" t="n">
        <v>1031.64</v>
      </c>
      <c r="H44" s="9">
        <f>G44*GP_FundMgmt_Pct</f>
        <v/>
      </c>
      <c r="I44" s="9">
        <f>G44*GP_Consultant_Pct</f>
        <v/>
      </c>
      <c r="J44" s="9">
        <f>G44*GP_Raj_Pct</f>
        <v/>
      </c>
      <c r="K44" s="9">
        <f>G44*GP_Nairne_Pct</f>
        <v/>
      </c>
      <c r="L44" s="9">
        <f>G44*GP_Alec_Pct</f>
        <v/>
      </c>
      <c r="M44" s="9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 t="inlineStr">
        <is>
          <t>Alec Atkinson</t>
        </is>
      </c>
      <c r="D45" s="9" t="n">
        <v>0</v>
      </c>
      <c r="E45" s="9" t="n">
        <v>102407.15</v>
      </c>
      <c r="F45" s="9" t="n">
        <v>3438.79</v>
      </c>
      <c r="G45" s="10" t="n">
        <v>1031.64</v>
      </c>
      <c r="H45" s="9">
        <f>G45*GP_FundMgmt_Pct</f>
        <v/>
      </c>
      <c r="I45" s="9">
        <f>G45*GP_Consultant_Pct</f>
        <v/>
      </c>
      <c r="J45" s="9">
        <f>G45*GP_Raj_Pct</f>
        <v/>
      </c>
      <c r="K45" s="9">
        <f>G45*GP_Nairne_Pct</f>
        <v/>
      </c>
      <c r="L45" s="9">
        <f>G45*GP_Alec_Pct</f>
        <v/>
      </c>
      <c r="M45" s="9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Alec Atkinson</t>
        </is>
      </c>
      <c r="D46" s="9" t="n">
        <v>0</v>
      </c>
      <c r="E46" s="9" t="n">
        <v>80692.28999999999</v>
      </c>
      <c r="F46" s="9" t="n">
        <v>2709.62</v>
      </c>
      <c r="G46" s="10" t="n">
        <v>812.88</v>
      </c>
      <c r="H46" s="9">
        <f>G46*GP_FundMgmt_Pct</f>
        <v/>
      </c>
      <c r="I46" s="9">
        <f>G46*GP_Consultant_Pct</f>
        <v/>
      </c>
      <c r="J46" s="9">
        <f>G46*GP_Raj_Pct</f>
        <v/>
      </c>
      <c r="K46" s="9">
        <f>G46*GP_Nairne_Pct</f>
        <v/>
      </c>
      <c r="L46" s="9">
        <f>G46*GP_Alec_Pct</f>
        <v/>
      </c>
      <c r="M46" s="9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Jake Gordon</t>
        </is>
      </c>
      <c r="D47" s="9" t="n">
        <v>0</v>
      </c>
      <c r="E47" s="9" t="n">
        <v>78321.57000000001</v>
      </c>
      <c r="F47" s="9" t="n">
        <v>2630.01</v>
      </c>
      <c r="G47" s="10" t="n">
        <v>789</v>
      </c>
      <c r="H47" s="9">
        <f>G47*GP_FundMgmt_Pct</f>
        <v/>
      </c>
      <c r="I47" s="9">
        <f>G47*GP_Consultant_Pct</f>
        <v/>
      </c>
      <c r="J47" s="9">
        <f>G47*GP_Raj_Pct</f>
        <v/>
      </c>
      <c r="K47" s="9">
        <f>G47*GP_Nairne_Pct</f>
        <v/>
      </c>
      <c r="L47" s="9">
        <f>G47*GP_Alec_Pct</f>
        <v/>
      </c>
      <c r="M47" s="9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inlineStr">
        <is>
          <t>AJ Affleck</t>
        </is>
      </c>
      <c r="D48" s="9" t="n">
        <v>0</v>
      </c>
      <c r="E48" s="9" t="n">
        <v>64305.85</v>
      </c>
      <c r="F48" s="9" t="n">
        <v>2159.37</v>
      </c>
      <c r="G48" s="10" t="n">
        <v>647.8099999999999</v>
      </c>
      <c r="H48" s="9">
        <f>G48*GP_FundMgmt_Pct</f>
        <v/>
      </c>
      <c r="I48" s="9">
        <f>G48*GP_Consultant_Pct</f>
        <v/>
      </c>
      <c r="J48" s="9">
        <f>G48*GP_Raj_Pct</f>
        <v/>
      </c>
      <c r="K48" s="9">
        <f>G48*GP_Nairne_Pct</f>
        <v/>
      </c>
      <c r="L48" s="9">
        <f>G48*GP_Alec_Pct</f>
        <v/>
      </c>
      <c r="M48" s="9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 t="inlineStr">
        <is>
          <t>Jake Gordon</t>
        </is>
      </c>
      <c r="D49" s="9" t="n">
        <v>0</v>
      </c>
      <c r="E49" s="9" t="n">
        <v>57066.22</v>
      </c>
      <c r="F49" s="9" t="n">
        <v>1916.26</v>
      </c>
      <c r="G49" s="10" t="n">
        <v>574.88</v>
      </c>
      <c r="H49" s="9">
        <f>G49*GP_FundMgmt_Pct</f>
        <v/>
      </c>
      <c r="I49" s="9">
        <f>G49*GP_Consultant_Pct</f>
        <v/>
      </c>
      <c r="J49" s="9">
        <f>G49*GP_Raj_Pct</f>
        <v/>
      </c>
      <c r="K49" s="9">
        <f>G49*GP_Nairne_Pct</f>
        <v/>
      </c>
      <c r="L49" s="9">
        <f>G49*GP_Alec_Pct</f>
        <v/>
      </c>
      <c r="M49" s="9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 t="inlineStr">
        <is>
          <t>Alec Atkinson</t>
        </is>
      </c>
      <c r="D50" s="9" t="n">
        <v>0</v>
      </c>
      <c r="E50" s="9" t="n">
        <v>41136.24</v>
      </c>
      <c r="F50" s="9" t="n">
        <v>1381.34</v>
      </c>
      <c r="G50" s="10" t="n">
        <v>414.4</v>
      </c>
      <c r="H50" s="9">
        <f>G50*GP_FundMgmt_Pct</f>
        <v/>
      </c>
      <c r="I50" s="9">
        <f>G50*GP_Consultant_Pct</f>
        <v/>
      </c>
      <c r="J50" s="9">
        <f>G50*GP_Raj_Pct</f>
        <v/>
      </c>
      <c r="K50" s="9">
        <f>G50*GP_Nairne_Pct</f>
        <v/>
      </c>
      <c r="L50" s="9">
        <f>G50*GP_Alec_Pct</f>
        <v/>
      </c>
      <c r="M50" s="9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 t="inlineStr">
        <is>
          <t>Alec Atkinson</t>
        </is>
      </c>
      <c r="D51" s="9" t="n">
        <v>0</v>
      </c>
      <c r="E51" s="9" t="n">
        <v>1100.81</v>
      </c>
      <c r="F51" s="9" t="n">
        <v>36.96</v>
      </c>
      <c r="G51" s="10" t="n">
        <v>11.09</v>
      </c>
      <c r="H51" s="9">
        <f>G51*GP_FundMgmt_Pct</f>
        <v/>
      </c>
      <c r="I51" s="9">
        <f>G51*GP_Consultant_Pct</f>
        <v/>
      </c>
      <c r="J51" s="9">
        <f>G51*GP_Raj_Pct</f>
        <v/>
      </c>
      <c r="K51" s="9">
        <f>G51*GP_Nairne_Pct</f>
        <v/>
      </c>
      <c r="L51" s="9">
        <f>G51*GP_Alec_Pct</f>
        <v/>
      </c>
      <c r="M51" s="9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inlineStr">
        <is>
          <t>Alec Atkinson</t>
        </is>
      </c>
      <c r="D52" s="9" t="n">
        <v>0</v>
      </c>
      <c r="E52" s="9" t="n">
        <v>0</v>
      </c>
      <c r="F52" s="9" t="n">
        <v>0</v>
      </c>
      <c r="G52" s="10" t="n">
        <v>0</v>
      </c>
      <c r="H52" s="9">
        <f>G52*GP_FundMgmt_Pct</f>
        <v/>
      </c>
      <c r="I52" s="9">
        <f>G52*GP_Consultant_Pct</f>
        <v/>
      </c>
      <c r="J52" s="9">
        <f>G52*GP_Raj_Pct</f>
        <v/>
      </c>
      <c r="K52" s="9">
        <f>G52*GP_Nairne_Pct</f>
        <v/>
      </c>
      <c r="L52" s="9">
        <f>G52*GP_Alec_Pct</f>
        <v/>
      </c>
      <c r="M52" s="9">
        <f>ROUND(SUM(H52:L52)-G52, 2)</f>
        <v/>
      </c>
    </row>
    <row r="53">
      <c r="B53" s="11" t="inlineStr">
        <is>
          <t>TOTAL</t>
        </is>
      </c>
      <c r="D53" s="12">
        <f>SUM(D2:D52)</f>
        <v/>
      </c>
      <c r="E53" s="12">
        <f>SUM(E2:E52)</f>
        <v/>
      </c>
      <c r="F53" s="12">
        <f>SUM(F2:F52)</f>
        <v/>
      </c>
      <c r="G53" s="12">
        <f>SUM(G2:G52)</f>
        <v/>
      </c>
      <c r="H53" s="12">
        <f>SUM(H2:H52)</f>
        <v/>
      </c>
      <c r="I53" s="12">
        <f>SUM(I2:I52)</f>
        <v/>
      </c>
      <c r="J53" s="12">
        <f>SUM(J2:J52)</f>
        <v/>
      </c>
      <c r="K53" s="12">
        <f>SUM(K2:K52)</f>
        <v/>
      </c>
      <c r="L53" s="12">
        <f>SUM(L2:L52)</f>
        <v/>
      </c>
      <c r="M53" s="9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29" customWidth="1" min="2" max="2"/>
    <col width="39" customWidth="1" min="3" max="3"/>
    <col width="45" customWidth="1" min="4" max="4"/>
    <col width="23" customWidth="1" min="5" max="5"/>
    <col width="36" customWidth="1" min="6" max="6"/>
    <col width="13" customWidth="1" min="7" max="7"/>
  </cols>
  <sheetData>
    <row r="1">
      <c r="A1" s="8" t="inlineStr">
        <is>
          <t>Consultant</t>
        </is>
      </c>
      <c r="B1" s="8" t="inlineStr">
        <is>
          <t># Investors</t>
        </is>
      </c>
      <c r="C1" s="8" t="inlineStr">
        <is>
          <t>Capital Raised</t>
        </is>
      </c>
      <c r="D1" s="8" t="inlineStr">
        <is>
          <t>Gross GP</t>
        </is>
      </c>
      <c r="E1" s="8" t="inlineStr">
        <is>
          <t>% of GP Pool</t>
        </is>
      </c>
      <c r="F1" s="8" t="inlineStr">
        <is>
          <t>Weighted Expense</t>
        </is>
      </c>
      <c r="G1" s="8" t="inlineStr">
        <is>
          <t>Net Profit</t>
        </is>
      </c>
    </row>
    <row r="2">
      <c r="A2" t="inlineStr">
        <is>
          <t>AJ Affleck</t>
        </is>
      </c>
      <c r="B2">
        <f>COUNTIF(PI_Consultant, A2)</f>
        <v/>
      </c>
      <c r="C2" s="9">
        <f>SUMIF(PI_Consultant, A2, PI_Capital)</f>
        <v/>
      </c>
      <c r="D2" s="9">
        <f>SUMIF(PI_Consultant, A2, PI_ConsultantCut)</f>
        <v/>
      </c>
      <c r="E2" s="13">
        <f>IFERROR(D2/$D$14,0)</f>
        <v/>
      </c>
      <c r="F2" s="9">
        <f>IFERROR(D2/$D$14,0)*Expense_Pool</f>
        <v/>
      </c>
      <c r="G2" s="9">
        <f>D2-F2</f>
        <v/>
      </c>
    </row>
    <row r="3">
      <c r="A3" t="inlineStr">
        <is>
          <t>Alec Atkinson</t>
        </is>
      </c>
      <c r="B3">
        <f>COUNTIF(PI_Consultant, A3)</f>
        <v/>
      </c>
      <c r="C3" s="9">
        <f>SUMIF(PI_Consultant, A3, PI_Capital)</f>
        <v/>
      </c>
      <c r="D3" s="9">
        <f>SUMIF(PI_Consultant, A3, PI_ConsultantCut)</f>
        <v/>
      </c>
      <c r="E3" s="13">
        <f>IFERROR(D3/$D$14,0)</f>
        <v/>
      </c>
      <c r="F3" s="9">
        <f>IFERROR(D3/$D$14,0)*Expense_Pool</f>
        <v/>
      </c>
      <c r="G3" s="9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9">
        <f>SUMIF(PI_Consultant, A4, PI_Capital)</f>
        <v/>
      </c>
      <c r="D4" s="9">
        <f>SUMIF(PI_Consultant, A4, PI_ConsultantCut)</f>
        <v/>
      </c>
      <c r="E4" s="13">
        <f>IFERROR(D4/$D$14,0)</f>
        <v/>
      </c>
      <c r="F4" s="9">
        <f>IFERROR(D4/$D$14,0)*Expense_Pool</f>
        <v/>
      </c>
      <c r="G4" s="9">
        <f>D4-F4</f>
        <v/>
      </c>
    </row>
    <row r="5">
      <c r="A5" t="inlineStr">
        <is>
          <t>Jake Gordon</t>
        </is>
      </c>
      <c r="B5">
        <f>COUNTIF(PI_Consultant, A5)</f>
        <v/>
      </c>
      <c r="C5" s="9">
        <f>SUMIF(PI_Consultant, A5, PI_Capital)</f>
        <v/>
      </c>
      <c r="D5" s="9">
        <f>SUMIF(PI_Consultant, A5, PI_ConsultantCut)</f>
        <v/>
      </c>
      <c r="E5" s="13">
        <f>IFERROR(D5/$D$14,0)</f>
        <v/>
      </c>
      <c r="F5" s="9">
        <f>IFERROR(D5/$D$14,0)*Expense_Pool</f>
        <v/>
      </c>
      <c r="G5" s="9">
        <f>D5-F5</f>
        <v/>
      </c>
    </row>
    <row r="6">
      <c r="A6" t="inlineStr">
        <is>
          <t>Luke</t>
        </is>
      </c>
      <c r="B6">
        <f>COUNTIF(PI_Consultant, A6)</f>
        <v/>
      </c>
      <c r="C6" s="9">
        <f>SUMIF(PI_Consultant, A6, PI_Capital)</f>
        <v/>
      </c>
      <c r="D6" s="9">
        <f>SUMIF(PI_Consultant, A6, PI_ConsultantCut)</f>
        <v/>
      </c>
      <c r="E6" s="13">
        <f>IFERROR(D6/$D$14,0)</f>
        <v/>
      </c>
      <c r="F6" s="9">
        <f>IFERROR(D6/$D$14,0)*Expense_Pool</f>
        <v/>
      </c>
      <c r="G6" s="9">
        <f>D6-F6</f>
        <v/>
      </c>
    </row>
    <row r="7">
      <c r="A7" s="14" t="inlineStr">
        <is>
          <t>CONSULTANTS SUBTOTAL</t>
        </is>
      </c>
      <c r="B7" s="15">
        <f>SUM(B2:B6)</f>
        <v/>
      </c>
      <c r="C7" s="12">
        <f>SUM(C2:C6)</f>
        <v/>
      </c>
      <c r="D7" s="12">
        <f>SUM(D2:D6)</f>
        <v/>
      </c>
      <c r="E7" s="16">
        <f>IFERROR(D7/$D$14,0)</f>
        <v/>
      </c>
      <c r="F7" s="12">
        <f>SUM(F2:F6)</f>
        <v/>
      </c>
      <c r="G7" s="12">
        <f>SUM(G2:G6)</f>
        <v/>
      </c>
    </row>
    <row r="8"/>
    <row r="9">
      <c r="A9" s="17" t="inlineStr">
        <is>
          <t>GP POOL — OTHER RECIPIENTS</t>
        </is>
      </c>
    </row>
    <row r="10">
      <c r="A10" s="18" t="inlineStr">
        <is>
          <t>Fund Mgmt</t>
        </is>
      </c>
      <c r="B10" t="inlineStr">
        <is>
          <t>—</t>
        </is>
      </c>
      <c r="C10" t="inlineStr">
        <is>
          <t>—</t>
        </is>
      </c>
      <c r="D10" s="9">
        <f>SUM(PI_PerfFee)*GP_FundMgmt_Pct</f>
        <v/>
      </c>
      <c r="E10" s="13">
        <f>IFERROR(D10/$D$14,0)</f>
        <v/>
      </c>
      <c r="F10" s="9">
        <f>IFERROR(D10/$D$14,0)*Expense_Pool</f>
        <v/>
      </c>
      <c r="G10" s="9">
        <f>D10-F10</f>
        <v/>
      </c>
    </row>
    <row r="11">
      <c r="A11" s="19" t="inlineStr">
        <is>
          <t>Raj (GP fixed 0.5%)</t>
        </is>
      </c>
      <c r="B11" t="inlineStr">
        <is>
          <t>—</t>
        </is>
      </c>
      <c r="C11" t="inlineStr">
        <is>
          <t>—</t>
        </is>
      </c>
      <c r="D11" s="9">
        <f>SUM(PI_PerfFee)*GP_Raj_Pct</f>
        <v/>
      </c>
      <c r="E11" s="13">
        <f>IFERROR(D11/$D$14,0)</f>
        <v/>
      </c>
      <c r="F11" s="9">
        <f>IFERROR(D11/$D$14,0)*Expense_Pool</f>
        <v/>
      </c>
      <c r="G11" s="9">
        <f>D11-F11</f>
        <v/>
      </c>
    </row>
    <row r="12">
      <c r="A12" s="19" t="inlineStr">
        <is>
          <t>Nairne (GP fixed 0.5%)</t>
        </is>
      </c>
      <c r="B12" t="inlineStr">
        <is>
          <t>—</t>
        </is>
      </c>
      <c r="C12" t="inlineStr">
        <is>
          <t>—</t>
        </is>
      </c>
      <c r="D12" s="9">
        <f>SUM(PI_PerfFee)*GP_Nairne_Pct</f>
        <v/>
      </c>
      <c r="E12" s="13">
        <f>IFERROR(D12/$D$14,0)</f>
        <v/>
      </c>
      <c r="F12" s="9">
        <f>IFERROR(D12/$D$14,0)*Expense_Pool</f>
        <v/>
      </c>
      <c r="G12" s="9">
        <f>D12-F12</f>
        <v/>
      </c>
    </row>
    <row r="13">
      <c r="A13" s="19" t="inlineStr">
        <is>
          <t>Alec (GP fixed 0.5%)</t>
        </is>
      </c>
      <c r="B13" t="inlineStr">
        <is>
          <t>—</t>
        </is>
      </c>
      <c r="C13" t="inlineStr">
        <is>
          <t>—</t>
        </is>
      </c>
      <c r="D13" s="9">
        <f>SUM(PI_PerfFee)*GP_Alec_Pct</f>
        <v/>
      </c>
      <c r="E13" s="13">
        <f>IFERROR(D13/$D$14,0)</f>
        <v/>
      </c>
      <c r="F13" s="9">
        <f>IFERROR(D13/$D$14,0)*Expense_Pool</f>
        <v/>
      </c>
      <c r="G13" s="9">
        <f>D13-F13</f>
        <v/>
      </c>
    </row>
    <row r="14">
      <c r="A14" s="15" t="inlineStr">
        <is>
          <t>GP POOL TOTAL</t>
        </is>
      </c>
      <c r="B14" s="15" t="n"/>
      <c r="C14" s="15" t="n"/>
      <c r="D14" s="12">
        <f>SUM(D2:D6)+SUM(D10:D13)</f>
        <v/>
      </c>
      <c r="E14" s="16">
        <f>D14/$D$14</f>
        <v/>
      </c>
      <c r="F14" s="12">
        <f>Expense_Pool</f>
        <v/>
      </c>
      <c r="G14" s="12">
        <f>D14-F14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36" customWidth="1" min="3" max="3"/>
    <col width="12" customWidth="1" min="4" max="4"/>
  </cols>
  <sheetData>
    <row r="1">
      <c r="A1" s="1" t="inlineStr">
        <is>
          <t>Operating Costs</t>
        </is>
      </c>
    </row>
    <row r="2">
      <c r="A2" s="2" t="inlineStr">
        <is>
          <t>Period: Mar 2026</t>
        </is>
      </c>
    </row>
    <row r="4">
      <c r="A4" s="8" t="inlineStr">
        <is>
          <t>Category</t>
        </is>
      </c>
      <c r="B4" s="8" t="inlineStr">
        <is>
          <t>Amount</t>
        </is>
      </c>
      <c r="C4" s="8" t="inlineStr">
        <is>
          <t>Notes</t>
        </is>
      </c>
      <c r="D4" s="8" t="inlineStr">
        <is>
          <t>% of Pool</t>
        </is>
      </c>
    </row>
    <row r="5">
      <c r="A5" t="inlineStr">
        <is>
          <t>Chris</t>
        </is>
      </c>
      <c r="B5" s="10" t="n">
        <v>8000</v>
      </c>
      <c r="D5" s="13">
        <f>B5/Costs_Total</f>
        <v/>
      </c>
    </row>
    <row r="6">
      <c r="A6" t="inlineStr">
        <is>
          <t>TPA</t>
        </is>
      </c>
      <c r="B6" s="10" t="n">
        <v>1200</v>
      </c>
      <c r="D6" s="13">
        <f>B6/Costs_Total</f>
        <v/>
      </c>
    </row>
    <row r="7">
      <c r="A7" t="inlineStr">
        <is>
          <t>Chris (Hotel+Ticket)</t>
        </is>
      </c>
      <c r="B7" s="10" t="n">
        <v>3226.17</v>
      </c>
      <c r="D7" s="13">
        <f>B7/Costs_Total</f>
        <v/>
      </c>
    </row>
    <row r="8">
      <c r="A8" t="inlineStr">
        <is>
          <t>Charalece</t>
        </is>
      </c>
      <c r="B8" s="10" t="n">
        <v>4000</v>
      </c>
      <c r="D8" s="13">
        <f>B8/Costs_Total</f>
        <v/>
      </c>
    </row>
    <row r="9">
      <c r="A9" t="inlineStr">
        <is>
          <t>Alec (Ticket)</t>
        </is>
      </c>
      <c r="B9" s="10" t="n">
        <v>886</v>
      </c>
      <c r="D9" s="13">
        <f>B9/Costs_Total</f>
        <v/>
      </c>
    </row>
    <row r="10">
      <c r="A10" t="inlineStr">
        <is>
          <t>Alec (Hotel)</t>
        </is>
      </c>
      <c r="B10" s="10" t="n">
        <v>1172</v>
      </c>
      <c r="D10" s="13">
        <f>B10/Costs_Total</f>
        <v/>
      </c>
    </row>
    <row r="11">
      <c r="A11" t="inlineStr">
        <is>
          <t>Taxes</t>
        </is>
      </c>
      <c r="B11" s="10" t="n">
        <v>6750</v>
      </c>
      <c r="D11" s="13">
        <f>B11/Costs_Total</f>
        <v/>
      </c>
    </row>
    <row r="12">
      <c r="A12" t="inlineStr">
        <is>
          <t>Legal</t>
        </is>
      </c>
      <c r="B12" s="10" t="n">
        <v>26000</v>
      </c>
      <c r="D12" s="13">
        <f>B12/Costs_Total</f>
        <v/>
      </c>
    </row>
    <row r="13">
      <c r="A13" s="11" t="inlineStr">
        <is>
          <t>TOTAL</t>
        </is>
      </c>
      <c r="B13" s="12">
        <f>SUM(B5:B12)</f>
        <v/>
      </c>
      <c r="D13" s="13">
        <f>SUM(D5:D12)</f>
        <v/>
      </c>
    </row>
    <row r="15">
      <c r="A15" s="3" t="inlineStr">
        <is>
          <t>Allocation by GP %</t>
        </is>
      </c>
    </row>
    <row r="16">
      <c r="A16" s="8" t="inlineStr">
        <is>
          <t>Party</t>
        </is>
      </c>
      <c r="B16" s="8" t="inlineStr">
        <is>
          <t>% of GP Pool</t>
        </is>
      </c>
      <c r="C16" s="8" t="inlineStr">
        <is>
          <t>Allocated Expense</t>
        </is>
      </c>
    </row>
    <row r="17">
      <c r="A17" t="inlineStr">
        <is>
          <t>AJ Affleck</t>
        </is>
      </c>
      <c r="B17" s="13">
        <f>IFERROR(VLOOKUP(A17,'Consultant Summary'!$A$2:$E$14,5,FALSE),0)</f>
        <v/>
      </c>
      <c r="C17" s="9">
        <f>B17*Costs_Total</f>
        <v/>
      </c>
    </row>
    <row r="18">
      <c r="A18" t="inlineStr">
        <is>
          <t>Alec Atkinson</t>
        </is>
      </c>
      <c r="B18" s="13">
        <f>IFERROR(VLOOKUP(A18,'Consultant Summary'!$A$2:$E$14,5,FALSE),0)</f>
        <v/>
      </c>
      <c r="C18" s="9">
        <f>B18*Costs_Total</f>
        <v/>
      </c>
    </row>
    <row r="19">
      <c r="A19" t="inlineStr">
        <is>
          <t>Fund Hub SPV (Pending Split)</t>
        </is>
      </c>
      <c r="B19" s="13">
        <f>IFERROR(VLOOKUP(A19,'Consultant Summary'!$A$2:$E$14,5,FALSE),0)</f>
        <v/>
      </c>
      <c r="C19" s="9">
        <f>B19*Costs_Total</f>
        <v/>
      </c>
    </row>
    <row r="20">
      <c r="A20" t="inlineStr">
        <is>
          <t>Jake Gordon</t>
        </is>
      </c>
      <c r="B20" s="13">
        <f>IFERROR(VLOOKUP(A20,'Consultant Summary'!$A$2:$E$14,5,FALSE),0)</f>
        <v/>
      </c>
      <c r="C20" s="9">
        <f>B20*Costs_Total</f>
        <v/>
      </c>
    </row>
    <row r="21">
      <c r="A21" t="inlineStr">
        <is>
          <t>Luke</t>
        </is>
      </c>
      <c r="B21" s="13">
        <f>IFERROR(VLOOKUP(A21,'Consultant Summary'!$A$2:$E$14,5,FALSE),0)</f>
        <v/>
      </c>
      <c r="C21" s="9">
        <f>B21*Costs_Total</f>
        <v/>
      </c>
    </row>
    <row r="22">
      <c r="A22" t="inlineStr">
        <is>
          <t>Fund Mgmt</t>
        </is>
      </c>
      <c r="B22" s="13">
        <f>IFERROR(VLOOKUP(A22,'Consultant Summary'!$A$2:$E$14,5,FALSE),0)</f>
        <v/>
      </c>
      <c r="C22" s="9">
        <f>B22*Costs_Total</f>
        <v/>
      </c>
    </row>
    <row r="23">
      <c r="A23" t="inlineStr">
        <is>
          <t>Raj (GP fixed 0.5%)</t>
        </is>
      </c>
      <c r="B23" s="13">
        <f>IFERROR(VLOOKUP(A23,'Consultant Summary'!$A$2:$E$14,5,FALSE),0)</f>
        <v/>
      </c>
      <c r="C23" s="9">
        <f>B23*Costs_Total</f>
        <v/>
      </c>
    </row>
    <row r="24">
      <c r="A24" t="inlineStr">
        <is>
          <t>Nairne (GP fixed 0.5%)</t>
        </is>
      </c>
      <c r="B24" s="13">
        <f>IFERROR(VLOOKUP(A24,'Consultant Summary'!$A$2:$E$14,5,FALSE),0)</f>
        <v/>
      </c>
      <c r="C24" s="9">
        <f>B24*Costs_Total</f>
        <v/>
      </c>
    </row>
    <row r="25">
      <c r="A25" t="inlineStr">
        <is>
          <t>Alec (GP fixed 0.5%)</t>
        </is>
      </c>
      <c r="B25" s="13">
        <f>IFERROR(VLOOKUP(A25,'Consultant Summary'!$A$2:$E$14,5,FALSE),0)</f>
        <v/>
      </c>
      <c r="C25" s="9">
        <f>B25*Costs_Total</f>
        <v/>
      </c>
    </row>
    <row r="26">
      <c r="A26" s="11" t="inlineStr">
        <is>
          <t>TOTAL</t>
        </is>
      </c>
      <c r="B26" s="16">
        <f>SUM(B17:B25)</f>
        <v/>
      </c>
      <c r="C26" s="12">
        <f>SUM(C17:C25)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1" t="inlineStr">
        <is>
          <t>Check</t>
        </is>
      </c>
      <c r="B2" s="11" t="inlineStr">
        <is>
          <t>Result</t>
        </is>
      </c>
      <c r="C2" s="11" t="inlineStr">
        <is>
          <t>Notes</t>
        </is>
      </c>
    </row>
    <row r="3">
      <c r="A3" t="inlineStr">
        <is>
          <t>Sum of per-investor Perf Fee (GP pool from TPA)</t>
        </is>
      </c>
      <c r="B3" s="9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9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2026-04-27T19:04:33Z</dcterms:created>
  <dcterms:modified xmlns:dcterms="http://purl.org/dc/terms/" xmlns:xsi="http://www.w3.org/2001/XMLSchema-instance" xsi:type="dcterms:W3CDTF">2026-04-27T19:04:33Z</dcterms:modified>
</cp:coreProperties>
</file>