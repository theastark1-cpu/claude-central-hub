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164" fontId="9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AUG ANOMALY: Aug used a different waterfall (9.5% Consultant + 13.5% Trader &amp; Developer + 5.5% Mgmt + 1.5% to principals = 30%). TruQuant moved upstream from Sep onwards. See 1099 Summary + Distributions Ledger tabs.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PAYMENTS TO CONTRACTORS (ACTUAL PAID per Distributions Ledger)</t>
        </is>
      </c>
      <c r="B10" s="5" t="n"/>
      <c r="C10" s="5" t="inlineStr"/>
    </row>
    <row r="11">
      <c r="A11" t="inlineStr">
        <is>
          <t xml:space="preserve">  Fund Mgmt entity</t>
        </is>
      </c>
      <c r="B11" s="6" t="n">
        <v>85049.86</v>
      </c>
      <c r="C11" t="inlineStr">
        <is>
          <t>Recipient entity name TBD — likely Armada Capital Group LLC</t>
        </is>
      </c>
    </row>
    <row r="12">
      <c r="A12" t="inlineStr">
        <is>
          <t xml:space="preserve">  Consultants (incl. Aug Trader &amp; Developer to TruQuant)</t>
        </is>
      </c>
      <c r="B12" s="6" t="n">
        <v>60625.41</v>
      </c>
      <c r="C12" t="inlineStr">
        <is>
          <t>See 1099 Summary tab for per-consultant breakdown</t>
        </is>
      </c>
    </row>
    <row r="13">
      <c r="A13" t="inlineStr">
        <is>
          <t xml:space="preserve">  Phil — fixed 0.5% slice</t>
        </is>
      </c>
      <c r="B13" s="6" t="n">
        <v>946.97</v>
      </c>
      <c r="C13" t="inlineStr">
        <is>
          <t>Phil held the 0.5% GP slice in 2025 (Alec took it over in 2026-04)</t>
        </is>
      </c>
    </row>
    <row r="14">
      <c r="A14" s="7" t="inlineStr">
        <is>
          <t xml:space="preserve">  TOTAL 1099 PAYMENTS</t>
        </is>
      </c>
      <c r="B14" s="8" t="n">
        <v>146622.24</v>
      </c>
      <c r="C14" s="7">
        <f> sum of all non-member contractor payments</f>
        <v/>
      </c>
    </row>
    <row r="15">
      <c r="A15" t="inlineStr"/>
      <c r="C15" t="inlineStr"/>
    </row>
    <row r="16">
      <c r="A16" s="5" t="inlineStr">
        <is>
          <t>LESS: GP-PAID OPERATING EXPENSES</t>
        </is>
      </c>
      <c r="B16" s="5" t="n"/>
      <c r="C16" s="5" t="inlineStr"/>
    </row>
    <row r="17">
      <c r="A17" t="inlineStr">
        <is>
          <t xml:space="preserve">  Vendor expenses (Chris, Insurance, PVD, Website, etc.)</t>
        </is>
      </c>
      <c r="B17" s="6" t="n">
        <v>91225</v>
      </c>
      <c r="C17" t="inlineStr">
        <is>
          <t>See GP Expenses tab. Sum of Aug-Dec Distributions Ledger Costs sections + Dec BEST ONE Costs.</t>
        </is>
      </c>
    </row>
    <row r="18">
      <c r="A18" t="inlineStr"/>
      <c r="C18" t="inlineStr"/>
    </row>
    <row r="19">
      <c r="A19" s="5" t="inlineStr">
        <is>
          <t>LESS: K-1 MEMBER DISTRIBUTIONS</t>
        </is>
      </c>
      <c r="B19" s="5" t="n"/>
      <c r="C19" s="5" t="inlineStr"/>
    </row>
    <row r="20">
      <c r="A20" t="inlineStr">
        <is>
          <t xml:space="preserve">  Raj Duggal (0.5% direct)</t>
        </is>
      </c>
      <c r="B20" s="6" t="n">
        <v>946.97</v>
      </c>
      <c r="C20" t="inlineStr"/>
    </row>
    <row r="21">
      <c r="A21" t="inlineStr">
        <is>
          <t xml:space="preserve">  Nairne (0.5% direct)</t>
        </is>
      </c>
      <c r="B21" s="6" t="n">
        <v>946.97</v>
      </c>
      <c r="C21" t="inlineStr"/>
    </row>
    <row r="22">
      <c r="A22" t="inlineStr"/>
      <c r="C22" t="inlineStr"/>
    </row>
    <row r="23">
      <c r="A23" s="7" t="inlineStr">
        <is>
          <t>NET INCOME (residual to GP)</t>
        </is>
      </c>
      <c r="B23" s="8" t="n">
        <v>-86718.15000000002</v>
      </c>
      <c r="C23" s="7" t="inlineStr">
        <is>
          <t>Gross - 1099s - Op Expenses - Direct Member Slices</t>
        </is>
      </c>
    </row>
    <row r="24">
      <c r="A24" t="inlineStr"/>
      <c r="C24" t="inlineStr"/>
    </row>
    <row r="25">
      <c r="A25" s="5" t="inlineStr">
        <is>
          <t>K-1 ALLOCATION (50/50 of net income, per Nairne 2026-04-30)</t>
        </is>
      </c>
      <c r="B25" s="5" t="n"/>
      <c r="C25" s="5" t="inlineStr"/>
    </row>
    <row r="26">
      <c r="A26" t="inlineStr">
        <is>
          <t xml:space="preserve">  Raj Duggal — total K-1 income</t>
        </is>
      </c>
      <c r="B26" s="6" t="n">
        <v>-42412.10500000001</v>
      </c>
      <c r="C26" t="inlineStr">
        <is>
          <t>Direct slice + 50% of residual net income</t>
        </is>
      </c>
    </row>
    <row r="27">
      <c r="A27" t="inlineStr">
        <is>
          <t xml:space="preserve">  Nairne — total K-1 income</t>
        </is>
      </c>
      <c r="B27" s="6" t="n">
        <v>-42412.10500000001</v>
      </c>
      <c r="C27" t="inlineStr">
        <is>
          <t>Direct slice + 50% of residual net income</t>
        </is>
      </c>
    </row>
    <row r="28"/>
    <row r="29">
      <c r="A29" s="9" t="inlineStr">
        <is>
          <t>CHECK: 1099s + Phil + Raj + Nairne = Gross</t>
        </is>
      </c>
      <c r="B29" s="6" t="n">
        <v>153023.0299999999</v>
      </c>
      <c r="C29" s="10" t="inlineStr">
        <is>
          <t>Should equal 153,023.03</t>
        </is>
      </c>
    </row>
  </sheetData>
  <mergeCells count="4">
    <mergeCell ref="A1:D1"/>
    <mergeCell ref="A4:D4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Fund Mgmt entity (TBD — Armada Capital Group LLC?)</t>
        </is>
      </c>
      <c r="B5" s="6" t="n">
        <v>85049.86</v>
      </c>
      <c r="C5" t="inlineStr">
        <is>
          <t>Entity 1099</t>
        </is>
      </c>
      <c r="D5" t="inlineStr">
        <is>
          <t>59.5% slice (Sep-Dec) + 5.5% slice (Aug)</t>
        </is>
      </c>
      <c r="E5" t="inlineStr"/>
      <c r="F5" t="inlineStr"/>
    </row>
    <row r="6">
      <c r="A6" t="inlineStr">
        <is>
          <t>Phil (last name TBD)</t>
        </is>
      </c>
      <c r="B6" s="6" t="n">
        <v>946.97</v>
      </c>
      <c r="C6" t="inlineStr">
        <is>
          <t>Individual 1099</t>
        </is>
      </c>
      <c r="D6" t="inlineStr">
        <is>
          <t>0.5% GP fixed slice (held by Phil all 2025)</t>
        </is>
      </c>
      <c r="E6" t="inlineStr"/>
      <c r="F6" t="inlineStr"/>
    </row>
    <row r="7">
      <c r="A7" t="inlineStr">
        <is>
          <t>Alec Atkinson</t>
        </is>
      </c>
      <c r="B7" s="6" t="n">
        <v>38076.87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Jake Gordon</t>
        </is>
      </c>
      <c r="B8" s="6" t="n">
        <v>10388.66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Trader &amp; Developer (TruQuant)</t>
        </is>
      </c>
      <c r="B9" s="6" t="n">
        <v>6909.93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t="inlineStr">
        <is>
          <t>AJ Affleck</t>
        </is>
      </c>
      <c r="B10" s="6" t="n">
        <v>4152.7</v>
      </c>
      <c r="C10" t="inlineStr">
        <is>
          <t>Individual 1099</t>
        </is>
      </c>
      <c r="D10" t="inlineStr">
        <is>
          <t>From Distributions ledger (cash actually paid)</t>
        </is>
      </c>
      <c r="E10" t="inlineStr"/>
      <c r="F10" t="inlineStr"/>
    </row>
    <row r="11">
      <c r="A11" t="inlineStr">
        <is>
          <t>Issac</t>
        </is>
      </c>
      <c r="B11" s="6" t="n">
        <v>761.49</v>
      </c>
      <c r="C11" t="inlineStr">
        <is>
          <t>Individual 1099</t>
        </is>
      </c>
      <c r="D11" t="inlineStr">
        <is>
          <t>From Distributions ledger (cash actually paid)</t>
        </is>
      </c>
      <c r="E11" t="inlineStr"/>
      <c r="F11" t="inlineStr"/>
    </row>
    <row r="12">
      <c r="A12" t="inlineStr">
        <is>
          <t>Spydr (TruQuant)</t>
        </is>
      </c>
      <c r="B12" s="6" t="n">
        <v>170.86</v>
      </c>
      <c r="C12" t="inlineStr">
        <is>
          <t>Individual 1099</t>
        </is>
      </c>
      <c r="D12" t="inlineStr">
        <is>
          <t>From Distributions ledger (cash actually paid)</t>
        </is>
      </c>
      <c r="E12" t="inlineStr"/>
      <c r="F12" t="inlineStr"/>
    </row>
    <row r="13">
      <c r="A13" t="inlineStr">
        <is>
          <t>Luke</t>
        </is>
      </c>
      <c r="B13" s="6" t="n">
        <v>164.9</v>
      </c>
      <c r="C13" t="inlineStr">
        <is>
          <t>Individual 1099</t>
        </is>
      </c>
      <c r="D13" t="inlineStr">
        <is>
          <t>From Distributions ledger (cash actually paid)</t>
        </is>
      </c>
      <c r="E13" t="inlineStr"/>
      <c r="F13" t="inlineStr"/>
    </row>
    <row r="14">
      <c r="A14" s="11" t="inlineStr">
        <is>
          <t>TOTAL 1099 PAYMENTS</t>
        </is>
      </c>
      <c r="B14" s="12" t="n">
        <v>146622.24</v>
      </c>
      <c r="C14" s="11" t="n"/>
      <c r="D14" s="11" t="n"/>
      <c r="E14" s="11" t="n"/>
      <c r="F14" s="11" t="n"/>
    </row>
    <row r="15"/>
    <row r="16">
      <c r="A16" s="10" t="inlineStr">
        <is>
          <t>Cross-check: 1099 total ($146,622.24) + Raj K-1 direct ($946.97) + Nairne K-1 direct ($946.97) = $148,516.18</t>
        </is>
      </c>
    </row>
    <row r="17">
      <c r="A17" s="10" t="inlineStr">
        <is>
          <t>Should approx equal Gross Perf Fees Crystallized (TPA): $153,023.03 — delta = $4,506.85 (= cash-vs-accrual timing + Aug TQ-T&amp;D treatment)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2026-04-30: Raj Duggal (50%) and Nairne (50%) of GP net income.</t>
        </is>
      </c>
    </row>
    <row r="3"/>
    <row r="4">
      <c r="A4" s="4" t="inlineStr">
        <is>
          <t>Member</t>
        </is>
      </c>
      <c r="B4" s="4" t="inlineStr">
        <is>
          <t>Direct 0.5% Slice ($)</t>
        </is>
      </c>
      <c r="C4" s="4" t="inlineStr">
        <is>
          <t>Share of GP Net Income (50%)</t>
        </is>
      </c>
      <c r="D4" s="4" t="inlineStr">
        <is>
          <t>Total K-1 Income ($)</t>
        </is>
      </c>
      <c r="E4" s="4" t="inlineStr">
        <is>
          <t>SSN/EIN + Address (fill in)</t>
        </is>
      </c>
    </row>
    <row r="5">
      <c r="A5" t="inlineStr">
        <is>
          <t>Raj Duggal</t>
        </is>
      </c>
      <c r="B5" s="6" t="n">
        <v>946.97</v>
      </c>
      <c r="C5" s="6" t="n">
        <v>-43359.07500000001</v>
      </c>
      <c r="D5" s="13" t="n">
        <v>-42412.10500000001</v>
      </c>
      <c r="E5" t="inlineStr"/>
    </row>
    <row r="6">
      <c r="A6" t="inlineStr">
        <is>
          <t>Nairne</t>
        </is>
      </c>
      <c r="B6" s="6" t="n">
        <v>946.97</v>
      </c>
      <c r="C6" s="6" t="n">
        <v>-43359.07500000001</v>
      </c>
      <c r="D6" s="13" t="n">
        <v>-42412.10500000001</v>
      </c>
      <c r="E6" t="inlineStr"/>
    </row>
    <row r="7"/>
    <row r="8">
      <c r="A8" s="5" t="inlineStr">
        <is>
          <t>K-1 ARITHMETIC</t>
        </is>
      </c>
    </row>
    <row r="9">
      <c r="A9" t="inlineStr">
        <is>
          <t>GP Gross Income (TPA Perf Fees Crystallized): $153,023.03</t>
        </is>
      </c>
    </row>
    <row r="10">
      <c r="A10" t="inlineStr">
        <is>
          <t>Less: 1099 contractor payments (incl. Fund Mgmt + Phil + consultants + Aug Trader &amp; Developer): $144,728.30</t>
        </is>
      </c>
    </row>
    <row r="11">
      <c r="A11" t="inlineStr">
        <is>
          <t>Less: Direct 0.5% slices to Raj + Nairne: $1,893.94</t>
        </is>
      </c>
    </row>
    <row r="12">
      <c r="A12" t="inlineStr">
        <is>
          <t>Less: GP-paid operating expenses: $91,225.00</t>
        </is>
      </c>
    </row>
    <row r="13">
      <c r="A13">
        <f> GP Net Income (residual): $-86,718.15</f>
        <v/>
      </c>
    </row>
    <row r="14">
      <c r="A14" t="inlineStr">
        <is>
          <t>Per K-1 member (50/50): $-43,359.08</t>
        </is>
      </c>
    </row>
    <row r="15"/>
    <row r="16">
      <c r="A16" s="14" t="inlineStr">
        <is>
          <t>NOTES</t>
        </is>
      </c>
    </row>
    <row r="17" ht="30" customHeight="1">
      <c r="A17" s="15" t="inlineStr">
        <is>
          <t>If Net Income is negative, the K-1s issue a loss — verify with accountant whether the loss can offset other income for the members.</t>
        </is>
      </c>
    </row>
    <row r="18" ht="30" customHeight="1">
      <c r="A18" s="15" t="inlineStr">
        <is>
          <t>Operating expenses include items that may be reclassed by the accountant (506c SPV Loans = capital not expense; Insurance $18k may be annual not Dec).</t>
        </is>
      </c>
    </row>
    <row r="19" ht="30" customHeight="1">
      <c r="A19" s="15" t="inlineStr">
        <is>
          <t>Cash-basis 1099s (above) may differ from accrual-basis (TPA-derived). Confirm GP's tax basis with accountant.</t>
        </is>
      </c>
    </row>
  </sheetData>
  <mergeCells count="11">
    <mergeCell ref="A12:E12"/>
    <mergeCell ref="A18:E18"/>
    <mergeCell ref="A2:E2"/>
    <mergeCell ref="A10:E10"/>
    <mergeCell ref="A19:E19"/>
    <mergeCell ref="A11:E11"/>
    <mergeCell ref="A1:E1"/>
    <mergeCell ref="A13:E13"/>
    <mergeCell ref="A14:E14"/>
    <mergeCell ref="A17:E17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6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6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6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6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6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7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7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7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7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7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7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7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7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PVD (verify)</t>
        </is>
      </c>
      <c r="E6" t="inlineStr">
        <is>
          <t>Distributions ledger — Aug 2025 sheet</t>
        </is>
      </c>
    </row>
    <row r="7">
      <c r="A7" s="18" t="inlineStr">
        <is>
          <t>Aug 2025 subtotal</t>
        </is>
      </c>
      <c r="B7" s="18" t="n"/>
      <c r="C7" s="19" t="n">
        <v>10275</v>
      </c>
      <c r="D7" s="18" t="n"/>
      <c r="E7" s="18" t="n"/>
    </row>
    <row r="8">
      <c r="A8" t="inlineStr">
        <is>
          <t>Sep 2025</t>
        </is>
      </c>
      <c r="B8" s="20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506c SPV Loan</t>
        </is>
      </c>
      <c r="C9" s="6" t="n">
        <v>25000</v>
      </c>
      <c r="D9" t="inlineStr">
        <is>
          <t>Loan/SPV</t>
        </is>
      </c>
      <c r="E9" t="inlineStr">
        <is>
          <t>Distributions ledger — Oct 2025 sheet</t>
        </is>
      </c>
    </row>
    <row r="10">
      <c r="A10" t="inlineStr">
        <is>
          <t>Oct 2025</t>
        </is>
      </c>
      <c r="B10" t="inlineStr">
        <is>
          <t>PVD</t>
        </is>
      </c>
      <c r="C10" s="6" t="n">
        <v>6000</v>
      </c>
      <c r="D10" t="inlineStr">
        <is>
          <t>PVD (verify)</t>
        </is>
      </c>
      <c r="E10" t="inlineStr">
        <is>
          <t>Distributions ledger — Oct 2025 sheet</t>
        </is>
      </c>
    </row>
    <row r="11">
      <c r="A11" t="inlineStr">
        <is>
          <t>Oct 2025</t>
        </is>
      </c>
      <c r="B11" t="inlineStr">
        <is>
          <t>Website</t>
        </is>
      </c>
      <c r="C11" s="6" t="n">
        <v>7500</v>
      </c>
      <c r="D11" t="inlineStr">
        <is>
          <t>Marketing/Web</t>
        </is>
      </c>
      <c r="E11" t="inlineStr">
        <is>
          <t>Distributions ledger — Oct 2025 sheet</t>
        </is>
      </c>
    </row>
    <row r="12">
      <c r="A12" t="inlineStr">
        <is>
          <t>Oct 2025</t>
        </is>
      </c>
      <c r="B12" t="inlineStr">
        <is>
          <t>Ad Spend</t>
        </is>
      </c>
      <c r="C12" s="6" t="n">
        <v>5000</v>
      </c>
      <c r="D12" t="inlineStr">
        <is>
          <t>Marketing/Ads</t>
        </is>
      </c>
      <c r="E12" t="inlineStr">
        <is>
          <t>Distributions ledger — Oct 2025 sheet</t>
        </is>
      </c>
    </row>
    <row r="13">
      <c r="A13" s="18" t="inlineStr">
        <is>
          <t>Oct 2025 subtotal</t>
        </is>
      </c>
      <c r="B13" s="18" t="n"/>
      <c r="C13" s="19" t="n">
        <v>43500</v>
      </c>
      <c r="D13" s="18" t="n"/>
      <c r="E13" s="18" t="n"/>
    </row>
    <row r="14">
      <c r="A14" t="inlineStr">
        <is>
          <t>Nov 2025</t>
        </is>
      </c>
      <c r="B14" t="inlineStr">
        <is>
          <t>Chris</t>
        </is>
      </c>
      <c r="C14" s="6" t="n">
        <v>7500</v>
      </c>
      <c r="D14" t="inlineStr">
        <is>
          <t>Payroll/Contractor</t>
        </is>
      </c>
      <c r="E14" t="inlineStr">
        <is>
          <t>Distributions ledger — Nov 2025 sheet</t>
        </is>
      </c>
    </row>
    <row r="15">
      <c r="A15" t="inlineStr">
        <is>
          <t>Nov 2025</t>
        </is>
      </c>
      <c r="B15" t="inlineStr">
        <is>
          <t>Alpha Verification</t>
        </is>
      </c>
      <c r="C15" s="6" t="n">
        <v>2250</v>
      </c>
      <c r="D15" t="inlineStr">
        <is>
          <t>Verification/Compliance</t>
        </is>
      </c>
      <c r="E15" t="inlineStr">
        <is>
          <t>Distributions ledger — Nov 2025 sheet</t>
        </is>
      </c>
    </row>
    <row r="16">
      <c r="A16" t="inlineStr">
        <is>
          <t>Nov 2025</t>
        </is>
      </c>
      <c r="B16" t="inlineStr">
        <is>
          <t>Formidium (TPA)</t>
        </is>
      </c>
      <c r="C16" s="6" t="n">
        <v>600</v>
      </c>
      <c r="D16" t="inlineStr">
        <is>
          <t>Admin / TPA Fee</t>
        </is>
      </c>
      <c r="E16" t="inlineStr">
        <is>
          <t>Distributions ledger — Nov 2025 sheet</t>
        </is>
      </c>
    </row>
    <row r="17">
      <c r="A17" s="18" t="inlineStr">
        <is>
          <t>Nov 2025 subtotal</t>
        </is>
      </c>
      <c r="B17" s="18" t="n"/>
      <c r="C17" s="19" t="n">
        <v>10350</v>
      </c>
      <c r="D17" s="18" t="n"/>
      <c r="E17" s="18" t="n"/>
    </row>
    <row r="18">
      <c r="A18" t="inlineStr">
        <is>
          <t>Dec 2025</t>
        </is>
      </c>
      <c r="B18" t="inlineStr">
        <is>
          <t>Chris</t>
        </is>
      </c>
      <c r="C18" s="6" t="n">
        <v>4000</v>
      </c>
      <c r="D18" t="inlineStr">
        <is>
          <t>Payroll/Contractor</t>
        </is>
      </c>
      <c r="E18" t="inlineStr">
        <is>
          <t>BEST ONE Dec Costs</t>
        </is>
      </c>
    </row>
    <row r="19">
      <c r="A19" t="inlineStr">
        <is>
          <t>Dec 2025</t>
        </is>
      </c>
      <c r="B19" t="inlineStr">
        <is>
          <t>TPA (Formidium)</t>
        </is>
      </c>
      <c r="C19" s="6" t="n">
        <v>600</v>
      </c>
      <c r="D19" t="inlineStr">
        <is>
          <t>Admin / TPA Fee</t>
        </is>
      </c>
      <c r="E19" t="inlineStr">
        <is>
          <t>BEST ONE Dec Costs</t>
        </is>
      </c>
    </row>
    <row r="20">
      <c r="A20" t="inlineStr">
        <is>
          <t>Dec 2025</t>
        </is>
      </c>
      <c r="B20" t="inlineStr">
        <is>
          <t>Insurance</t>
        </is>
      </c>
      <c r="C20" s="6" t="n">
        <v>18000</v>
      </c>
      <c r="D20" t="inlineStr">
        <is>
          <t>Insurance</t>
        </is>
      </c>
      <c r="E20" t="inlineStr">
        <is>
          <t>BEST ONE Dec Costs</t>
        </is>
      </c>
    </row>
    <row r="21">
      <c r="A21" t="inlineStr">
        <is>
          <t>Dec 2025</t>
        </is>
      </c>
      <c r="B21" t="inlineStr">
        <is>
          <t>TPA (second line)</t>
        </is>
      </c>
      <c r="C21" s="6" t="n">
        <v>4500</v>
      </c>
      <c r="D21" t="inlineStr">
        <is>
          <t>Admin / TPA Fee</t>
        </is>
      </c>
      <c r="E21" t="inlineStr">
        <is>
          <t>BEST ONE Dec Costs</t>
        </is>
      </c>
    </row>
    <row r="22">
      <c r="A22" s="18" t="inlineStr">
        <is>
          <t>Dec 2025 subtotal</t>
        </is>
      </c>
      <c r="B22" s="18" t="n"/>
      <c r="C22" s="19" t="n">
        <v>27100</v>
      </c>
      <c r="D22" s="18" t="n"/>
      <c r="E22" s="18" t="n"/>
    </row>
    <row r="23"/>
    <row r="24">
      <c r="A24" s="11" t="inlineStr">
        <is>
          <t>2025 TOTAL GP-PAID OPERATING EXPENSES</t>
        </is>
      </c>
      <c r="B24" s="11" t="n"/>
      <c r="C24" s="12" t="n">
        <v>91225</v>
      </c>
      <c r="D24" s="11" t="n"/>
      <c r="E24" s="11" t="n"/>
    </row>
    <row r="25"/>
    <row r="26">
      <c r="A26" s="14" t="inlineStr">
        <is>
          <t>Verify with user before sending to accountant</t>
        </is>
      </c>
    </row>
    <row r="27">
      <c r="A27" s="21" t="inlineStr">
        <is>
          <t>1. Insurance ($18k Dec): is this annual or already monthly-allocated? If annual, reduce to ~$1.5k for Dec.</t>
        </is>
      </c>
    </row>
    <row r="28">
      <c r="A28" s="21" t="inlineStr">
        <is>
          <t>2. TPA fee duplication: Dec has TWO TPA lines ($600 + $4,500). The $600 also appears as fund-level admin in TPA's books. Confirm only the GP-paid portion goes here.</t>
        </is>
      </c>
    </row>
    <row r="29">
      <c r="A29" s="21" t="inlineStr">
        <is>
          <t>3. 506c SPV Loan ($4,275 Aug + $25,000 Oct): is this an expense or a loan repayment? Expense for 1099/K-1 vs balance-sheet item.</t>
        </is>
      </c>
    </row>
    <row r="30">
      <c r="A30" s="21" t="inlineStr">
        <is>
          <t>4. PVD ($6k Aug + $6k Oct): vendor identification needed for 1099 (if individual) or just expense (if entity).</t>
        </is>
      </c>
    </row>
    <row r="31">
      <c r="A31" s="21" t="inlineStr">
        <is>
          <t>5. Badtwin / Ad Spend / Website (Oct): vendor names + 1099 obligations need confirmation.</t>
        </is>
      </c>
    </row>
  </sheetData>
  <mergeCells count="7">
    <mergeCell ref="A30:E30"/>
    <mergeCell ref="A29:E29"/>
    <mergeCell ref="A2:E2"/>
    <mergeCell ref="A28:E28"/>
    <mergeCell ref="A1:E1"/>
    <mergeCell ref="A31:E3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Fund Mgmt</t>
        </is>
      </c>
      <c r="B5" s="6" t="n">
        <v>2815.16</v>
      </c>
      <c r="C5" s="6" t="n">
        <v>7415.62</v>
      </c>
      <c r="D5" s="6" t="n">
        <v>31206.94</v>
      </c>
      <c r="E5" s="6" t="n">
        <v>34183.9</v>
      </c>
      <c r="F5" s="6" t="n">
        <v>9428.24</v>
      </c>
      <c r="G5" s="17" t="n">
        <v>85049.86</v>
      </c>
    </row>
    <row r="6">
      <c r="A6" t="inlineStr">
        <is>
          <t>Alec Atkinson</t>
        </is>
      </c>
      <c r="B6" s="6" t="n">
        <v>3172.12</v>
      </c>
      <c r="C6" s="6" t="n">
        <v>3561.92</v>
      </c>
      <c r="D6" s="6" t="n">
        <v>11848.88</v>
      </c>
      <c r="E6" s="6" t="n">
        <v>15124.18</v>
      </c>
      <c r="F6" s="6" t="n">
        <v>4369.77</v>
      </c>
      <c r="G6" s="17" t="n">
        <v>38076.87</v>
      </c>
    </row>
    <row r="7">
      <c r="A7" t="inlineStr">
        <is>
          <t>Jake Gordon</t>
        </is>
      </c>
      <c r="B7" s="6" t="n">
        <v>1266.18</v>
      </c>
      <c r="C7" s="6" t="n">
        <v>930.9</v>
      </c>
      <c r="D7" s="6" t="n">
        <v>3218.29</v>
      </c>
      <c r="E7" s="6" t="n">
        <v>4184.51</v>
      </c>
      <c r="F7" s="6" t="n">
        <v>788.78</v>
      </c>
      <c r="G7" s="17" t="n">
        <v>10388.66</v>
      </c>
    </row>
    <row r="8">
      <c r="A8" t="inlineStr">
        <is>
          <t>Trader &amp; Developer (TruQuant)</t>
        </is>
      </c>
      <c r="B8" s="6" t="n">
        <v>6909.93</v>
      </c>
      <c r="C8" s="6" t="n">
        <v>0</v>
      </c>
      <c r="D8" s="6" t="n">
        <v>0</v>
      </c>
      <c r="E8" s="6" t="n">
        <v>0</v>
      </c>
      <c r="F8" s="6" t="n">
        <v>0</v>
      </c>
      <c r="G8" s="17" t="n">
        <v>6909.93</v>
      </c>
    </row>
    <row r="9">
      <c r="A9" t="inlineStr">
        <is>
          <t>AJ Affleck</t>
        </is>
      </c>
      <c r="B9" s="6" t="n">
        <v>335.47</v>
      </c>
      <c r="C9" s="6" t="n">
        <v>285.77</v>
      </c>
      <c r="D9" s="6" t="n">
        <v>1268.23</v>
      </c>
      <c r="E9" s="6" t="n">
        <v>1833.52</v>
      </c>
      <c r="F9" s="6" t="n">
        <v>429.71</v>
      </c>
      <c r="G9" s="17" t="n">
        <v>4152.7</v>
      </c>
    </row>
    <row r="10">
      <c r="A10" t="inlineStr">
        <is>
          <t>Raj</t>
        </is>
      </c>
      <c r="B10" s="6" t="n">
        <v>255.92</v>
      </c>
      <c r="C10" s="6" t="n">
        <v>62.32</v>
      </c>
      <c r="D10" s="6" t="n">
        <v>262.24</v>
      </c>
      <c r="E10" s="6" t="n">
        <v>287.26</v>
      </c>
      <c r="F10" s="6" t="n">
        <v>79.23</v>
      </c>
      <c r="G10" s="17" t="n">
        <v>946.97</v>
      </c>
    </row>
    <row r="11">
      <c r="A11" t="inlineStr">
        <is>
          <t>Nairne</t>
        </is>
      </c>
      <c r="B11" s="6" t="n">
        <v>255.92</v>
      </c>
      <c r="C11" s="6" t="n">
        <v>62.32</v>
      </c>
      <c r="D11" s="6" t="n">
        <v>262.24</v>
      </c>
      <c r="E11" s="6" t="n">
        <v>287.26</v>
      </c>
      <c r="F11" s="6" t="n">
        <v>79.23</v>
      </c>
      <c r="G11" s="17" t="n">
        <v>946.97</v>
      </c>
    </row>
    <row r="12">
      <c r="A12" t="inlineStr">
        <is>
          <t>Phil</t>
        </is>
      </c>
      <c r="B12" s="6" t="n">
        <v>255.92</v>
      </c>
      <c r="C12" s="6" t="n">
        <v>62.32</v>
      </c>
      <c r="D12" s="6" t="n">
        <v>262.24</v>
      </c>
      <c r="E12" s="6" t="n">
        <v>287.26</v>
      </c>
      <c r="F12" s="6" t="n">
        <v>79.23</v>
      </c>
      <c r="G12" s="17" t="n">
        <v>946.97</v>
      </c>
    </row>
    <row r="13">
      <c r="A13" t="inlineStr">
        <is>
          <t>Issac</t>
        </is>
      </c>
      <c r="B13" s="6" t="n">
        <v>0</v>
      </c>
      <c r="C13" s="6" t="n">
        <v>0</v>
      </c>
      <c r="D13" s="6" t="n">
        <v>254.12</v>
      </c>
      <c r="E13" s="6" t="n">
        <v>785.85</v>
      </c>
      <c r="F13" s="6" t="n">
        <v>-278.48</v>
      </c>
      <c r="G13" s="17" t="n">
        <v>761.49</v>
      </c>
    </row>
    <row r="14">
      <c r="A14" t="inlineStr">
        <is>
          <t>Spydr (TruQuant)</t>
        </is>
      </c>
      <c r="B14" s="6" t="n">
        <v>88.78</v>
      </c>
      <c r="C14" s="6" t="n">
        <v>82.08</v>
      </c>
      <c r="D14" s="6" t="n">
        <v>0</v>
      </c>
      <c r="E14" s="6" t="n">
        <v>0</v>
      </c>
      <c r="F14" s="6" t="n">
        <v>0</v>
      </c>
      <c r="G14" s="17" t="n">
        <v>170.86</v>
      </c>
    </row>
    <row r="15">
      <c r="A15" t="inlineStr">
        <is>
          <t>Luke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164.9</v>
      </c>
      <c r="G15" s="17" t="n">
        <v>164.9</v>
      </c>
    </row>
    <row r="16">
      <c r="A16" s="11" t="inlineStr">
        <is>
          <t>MONTH TOTAL (cash actually paid out)</t>
        </is>
      </c>
      <c r="B16" s="12" t="n">
        <v>15355.4</v>
      </c>
      <c r="C16" s="12" t="n">
        <v>12463.25</v>
      </c>
      <c r="D16" s="12" t="n">
        <v>48583.18</v>
      </c>
      <c r="E16" s="12" t="n">
        <v>56973.74000000001</v>
      </c>
      <c r="F16" s="12" t="n">
        <v>15140.61</v>
      </c>
      <c r="G16" s="12" t="n">
        <v>148516.18</v>
      </c>
    </row>
    <row r="17">
      <c r="A17" s="10" t="inlineStr">
        <is>
          <t>TPA Perf Fees Crystallized (what was OWED)</t>
        </is>
      </c>
      <c r="B17" s="22" t="n">
        <v>15355.51</v>
      </c>
      <c r="C17" s="22" t="n">
        <v>12474.75</v>
      </c>
      <c r="D17" s="22" t="n">
        <v>51906.99</v>
      </c>
      <c r="E17" s="22" t="n">
        <v>57074.08999999997</v>
      </c>
      <c r="F17" s="22" t="n">
        <v>16211.69</v>
      </c>
      <c r="G17" s="22" t="n">
        <v>153023.03</v>
      </c>
    </row>
    <row r="18">
      <c r="A18" t="inlineStr">
        <is>
          <t>DELTA (Owed - Paid; positive = unpaid liability)</t>
        </is>
      </c>
      <c r="B18" s="6" t="n">
        <v>0.1100000000024011</v>
      </c>
      <c r="C18" s="6" t="n">
        <v>11.50000000000182</v>
      </c>
      <c r="D18" s="13" t="n">
        <v>3323.809999999998</v>
      </c>
      <c r="E18" s="13" t="n">
        <v>100.3499999999622</v>
      </c>
      <c r="F18" s="13" t="n">
        <v>1071.080000000004</v>
      </c>
      <c r="G18" s="13" t="n">
        <v>4506.849999999977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13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2026-04-30T07:14:33Z</dcterms:created>
  <dcterms:modified xmlns:dcterms="http://purl.org/dc/terms/" xmlns:xsi="http://www.w3.org/2001/XMLSchema-instance" xsi:type="dcterms:W3CDTF">2026-04-30T07:14:33Z</dcterms:modified>
</cp:coreProperties>
</file>