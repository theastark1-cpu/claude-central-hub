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3"/>
    </font>
    <font>
      <i val="1"/>
      <color rgb="00666666"/>
    </font>
    <font>
      <b val="1"/>
      <color rgb="00FFFFFF"/>
      <sz val="11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05496"/>
        <bgColor rgb="00305496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6" fillId="5" borderId="0" pivotButton="0" quotePrefix="0" xfId="0"/>
    <xf numFmtId="164" fontId="6" fillId="5" borderId="0" pivotButton="0" quotePrefix="0" xfId="0"/>
    <xf numFmtId="0" fontId="6" fillId="5" borderId="0" applyAlignment="1" pivotButton="0" quotePrefix="0" xfId="0">
      <alignment wrapText="1"/>
    </xf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8" customWidth="1" min="3" max="3"/>
    <col width="60" customWidth="1" min="4" max="4"/>
  </cols>
  <sheetData>
    <row r="1">
      <c r="A1" s="1" t="inlineStr">
        <is>
          <t>Armada Prime Tech LLC</t>
        </is>
      </c>
    </row>
    <row r="2">
      <c r="A2" s="2" t="inlineStr">
        <is>
          <t>Balance Sheet (as of Dec 31, 2025)</t>
        </is>
      </c>
    </row>
    <row r="3">
      <c r="A3" s="3" t="inlineStr">
        <is>
          <t>Tax Year 2025  |  Period: Aug 1, 2025 – Dec 31, 2025  |  Generated 2026-05-05</t>
        </is>
      </c>
    </row>
    <row r="5">
      <c r="A5" s="4" t="inlineStr">
        <is>
          <t>Account</t>
        </is>
      </c>
      <c r="B5" s="4" t="inlineStr">
        <is>
          <t>Amount ($)</t>
        </is>
      </c>
      <c r="C5" s="4" t="inlineStr">
        <is>
          <t>Source / Method</t>
        </is>
      </c>
      <c r="D5" s="4" t="inlineStr">
        <is>
          <t>Notes</t>
        </is>
      </c>
    </row>
    <row r="6">
      <c r="A6" s="5" t="inlineStr">
        <is>
          <t>ASSETS</t>
        </is>
      </c>
    </row>
    <row r="7">
      <c r="A7" s="6" t="inlineStr">
        <is>
          <t>Cash &amp; Cash Equivalents (Bank + Crypto Wallets)</t>
        </is>
      </c>
      <c r="B7" s="6" t="n"/>
      <c r="C7" s="6" t="inlineStr">
        <is>
          <t>PLACEHOLDER</t>
        </is>
      </c>
      <c r="D7" s="7" t="inlineStr">
        <is>
          <t>⚠️ Need bank statements / wallet balances as of 12/31/2025 to populate</t>
        </is>
      </c>
    </row>
    <row r="8">
      <c r="A8" t="inlineStr">
        <is>
          <t>506c SPV Loan Receivable / SPV Investment</t>
        </is>
      </c>
      <c r="B8" s="8" t="n">
        <v>29275</v>
      </c>
      <c r="C8" t="inlineStr">
        <is>
          <t>Reclassified from P&amp;L</t>
        </is>
      </c>
      <c r="D8" s="9" t="inlineStr">
        <is>
          <t>Aug $4,275 + Oct $25,000 disbursements; classify per accountant (loan receivable vs equity investment)</t>
        </is>
      </c>
    </row>
    <row r="9">
      <c r="A9" t="inlineStr">
        <is>
          <t>Prepaid Insurance</t>
        </is>
      </c>
      <c r="B9" s="8" t="n">
        <v>10500</v>
      </c>
      <c r="C9" t="inlineStr">
        <is>
          <t>Reclassified from P&amp;L</t>
        </is>
      </c>
      <c r="D9" s="9" t="inlineStr">
        <is>
          <t>$18,000 Dec Insurance less $7,500 pro-rated to 2025 = $10,500 prepaid for 2026</t>
        </is>
      </c>
    </row>
    <row r="10">
      <c r="A10" s="6" t="inlineStr">
        <is>
          <t>Other Receivables / Accruals</t>
        </is>
      </c>
      <c r="B10" s="6" t="n"/>
      <c r="C10" s="6" t="inlineStr">
        <is>
          <t>PLACEHOLDER</t>
        </is>
      </c>
      <c r="D10" s="7" t="inlineStr">
        <is>
          <t>⚠️ Any TPA accruals (e.g., Dec perf fees not yet received in cash)?</t>
        </is>
      </c>
    </row>
    <row r="11">
      <c r="A11" s="10" t="inlineStr">
        <is>
          <t>Total Assets</t>
        </is>
      </c>
      <c r="B11" s="11" t="n">
        <v>39775</v>
      </c>
      <c r="C11" s="10" t="inlineStr"/>
      <c r="D11" s="12" t="inlineStr">
        <is>
          <t>Excludes cash and other unspecified assets — placeholders flagged above</t>
        </is>
      </c>
    </row>
    <row r="13">
      <c r="A13" s="5" t="inlineStr">
        <is>
          <t>LIABILITIES</t>
        </is>
      </c>
    </row>
    <row r="14">
      <c r="A14" s="6" t="inlineStr">
        <is>
          <t>Accounts Payable</t>
        </is>
      </c>
      <c r="B14" s="6" t="n"/>
      <c r="C14" s="6" t="inlineStr">
        <is>
          <t>PLACEHOLDER</t>
        </is>
      </c>
      <c r="D14" s="7" t="inlineStr">
        <is>
          <t>⚠️ Any unpaid contractor amounts as of 12/31? Distributions Ledger shows ~$11,588 cumulative cash-vs-accrual delta</t>
        </is>
      </c>
    </row>
    <row r="15">
      <c r="A15" s="6" t="inlineStr">
        <is>
          <t>Accrued Expenses</t>
        </is>
      </c>
      <c r="B15" s="6" t="n"/>
      <c r="C15" s="6" t="inlineStr">
        <is>
          <t>PLACEHOLDER</t>
        </is>
      </c>
      <c r="D15" s="7" t="inlineStr">
        <is>
          <t>⚠️ Any Q4 op expenses incurred but not yet paid?</t>
        </is>
      </c>
    </row>
    <row r="16">
      <c r="A16" s="10" t="inlineStr">
        <is>
          <t>Total Liabilities</t>
        </is>
      </c>
      <c r="B16" s="11" t="n">
        <v>0</v>
      </c>
      <c r="C16" s="10" t="inlineStr"/>
      <c r="D16" s="12" t="inlineStr">
        <is>
          <t>Excludes placeholders flagged above</t>
        </is>
      </c>
    </row>
    <row r="18">
      <c r="A18" s="5" t="inlineStr">
        <is>
          <t>MEMBERS' EQUITY</t>
        </is>
      </c>
    </row>
    <row r="19">
      <c r="A19" s="6" t="inlineStr">
        <is>
          <t>Member Capital — Nairne (60% ownership)</t>
        </is>
      </c>
      <c r="B19" s="6" t="n"/>
      <c r="C19" s="6" t="inlineStr">
        <is>
          <t>PLACEHOLDER</t>
        </is>
      </c>
      <c r="D19" s="7" t="inlineStr">
        <is>
          <t>⚠️ Initial capital contributions in 2025? Asked separately by Monily</t>
        </is>
      </c>
    </row>
    <row r="20">
      <c r="A20" s="6" t="inlineStr">
        <is>
          <t>Member Capital — Raj Duggal (0.5% ownership)</t>
        </is>
      </c>
      <c r="B20" s="6" t="n"/>
      <c r="C20" s="6" t="inlineStr">
        <is>
          <t>PLACEHOLDER</t>
        </is>
      </c>
      <c r="D20" s="7" t="inlineStr">
        <is>
          <t>⚠️ Initial capital contributions in 2025?</t>
        </is>
      </c>
    </row>
    <row r="21">
      <c r="A21" t="inlineStr">
        <is>
          <t>Cumulative Distributions — Nairne</t>
        </is>
      </c>
      <c r="B21" s="8" t="n">
        <v>-85996.83</v>
      </c>
      <c r="C21" t="inlineStr">
        <is>
          <t>Cash distributions made in 2025</t>
        </is>
      </c>
      <c r="D21" s="9" t="inlineStr">
        <is>
          <t>Includes Fund Mgmt 59.5% ($85,049.86) + direct 0.5% ($946.97)</t>
        </is>
      </c>
    </row>
    <row r="22">
      <c r="A22" t="inlineStr">
        <is>
          <t>Cumulative Distributions — Raj Duggal</t>
        </is>
      </c>
      <c r="B22" s="8" t="n">
        <v>-946.97</v>
      </c>
      <c r="C22" t="inlineStr">
        <is>
          <t>Cash distributions made in 2025</t>
        </is>
      </c>
      <c r="D22" s="9" t="inlineStr"/>
    </row>
    <row r="23">
      <c r="A23" t="inlineStr">
        <is>
          <t>Retained Earnings (Net Income for the year)</t>
        </is>
      </c>
      <c r="B23" s="8" t="n">
        <v>7306.440000000002</v>
      </c>
      <c r="C23" t="inlineStr">
        <is>
          <t>From P&amp;L Statement</t>
        </is>
      </c>
      <c r="D23" s="9" t="inlineStr">
        <is>
          <t>GAAP-basis: $7,306.44. Reclass-adjusted: $47,081.44</t>
        </is>
      </c>
    </row>
    <row r="24">
      <c r="A24" s="10" t="inlineStr">
        <is>
          <t>Total Members' Equity</t>
        </is>
      </c>
      <c r="B24" s="11" t="n">
        <v>-79637.36</v>
      </c>
      <c r="C24" s="10" t="inlineStr"/>
      <c r="D24" s="12" t="inlineStr">
        <is>
          <t>Excludes member capital contributions (placeholders)</t>
        </is>
      </c>
    </row>
    <row r="26">
      <c r="A26" s="5" t="inlineStr">
        <is>
          <t>BALANCING NOTE</t>
        </is>
      </c>
    </row>
    <row r="27">
      <c r="A27" t="inlineStr">
        <is>
          <t>Total Assets</t>
        </is>
      </c>
      <c r="B27" s="8" t="n">
        <v>39775</v>
      </c>
      <c r="C27" t="inlineStr"/>
      <c r="D27" s="9" t="inlineStr"/>
    </row>
    <row r="28">
      <c r="A28">
        <f> Total Liabilities + Members' Equity</f>
        <v/>
      </c>
      <c r="B28" s="8" t="n">
        <v>-79637.36</v>
      </c>
      <c r="C28" t="inlineStr"/>
      <c r="D28" s="9" t="inlineStr">
        <is>
          <t>When member capital + cash + payables are filled in, this should balance to total assets.</t>
        </is>
      </c>
    </row>
    <row r="29">
      <c r="A29" s="6" t="inlineStr">
        <is>
          <t>Imbalance (placeholder gap)</t>
        </is>
      </c>
      <c r="B29" s="13" t="n">
        <v>119412.36</v>
      </c>
      <c r="C29" s="6" t="inlineStr"/>
      <c r="D29" s="7" t="inlineStr">
        <is>
          <t>Reflects the missing cash and member capital contribution data — accountant will fill in.</t>
        </is>
      </c>
    </row>
    <row r="31">
      <c r="A31" s="5" t="inlineStr">
        <is>
          <t>METHODOLOGY</t>
        </is>
      </c>
    </row>
    <row r="32" ht="35" customHeight="1">
      <c r="A32" s="9" t="inlineStr">
        <is>
          <t>1. This is a BEST-EFFORT balance sheet built from available transactional data (Distributions ledger + TPA reporting). Several lines marked PLACEHOLDER need to be populated by the accountant from bank statements, wallet balances, and member capital records.</t>
        </is>
      </c>
    </row>
    <row r="33" ht="35" customHeight="1">
      <c r="A33" s="9" t="inlineStr">
        <is>
          <t>2. The 506c SPV Loan items ($4,275 Aug + $25,000 Oct = $29,275 total) were originally tracked as P&amp;L 'Costs' but are reclassified here to the asset side per standard practice for loan disbursements / SPV setup costs.</t>
        </is>
      </c>
    </row>
    <row r="34" ht="35" customHeight="1">
      <c r="A34" s="9" t="inlineStr">
        <is>
          <t>3. The $18,000 December Insurance line is split: $7,500 pro-rated to 2025 P&amp;L (5-month period of operations) and $10,500 booked as Prepaid Insurance asset (2026 coverage).</t>
        </is>
      </c>
    </row>
    <row r="35" ht="35" customHeight="1">
      <c r="A35" s="9" t="inlineStr">
        <is>
          <t>4. Cumulative Distributions are shown as negative equity (reduce capital accounts). Member capital contributions need to be added to balance the sheet.</t>
        </is>
      </c>
    </row>
    <row r="36" ht="35" customHeight="1">
      <c r="A36" s="9" t="inlineStr">
        <is>
          <t>5. The $11,588 cash-vs-accrual delta on the Distributions ledger may need to flow through Accounts Payable (if cash basis) or be irrelevant (if accrual basis). Confirm with accountant.</t>
        </is>
      </c>
    </row>
  </sheetData>
  <mergeCells count="13">
    <mergeCell ref="A1:D1"/>
    <mergeCell ref="A18:D18"/>
    <mergeCell ref="A31:D31"/>
    <mergeCell ref="A6:D6"/>
    <mergeCell ref="A34:D34"/>
    <mergeCell ref="A35:D35"/>
    <mergeCell ref="A3:D3"/>
    <mergeCell ref="A26:D26"/>
    <mergeCell ref="A2:D2"/>
    <mergeCell ref="A33:D33"/>
    <mergeCell ref="A36:D36"/>
    <mergeCell ref="A32:D3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2026-05-06T02:08:18Z</dcterms:created>
  <dcterms:modified xmlns:dcterms="http://purl.org/dc/terms/" xmlns:xsi="http://www.w3.org/2001/XMLSchema-instance" xsi:type="dcterms:W3CDTF">2026-05-06T02:08:18Z</dcterms:modified>
</cp:coreProperties>
</file>