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 Summary" sheetId="2" state="visible" r:id="rId2"/>
    <sheet xmlns:r="http://schemas.openxmlformats.org/officeDocument/2006/relationships" name="K-1 Summary" sheetId="3" state="visible" r:id="rId3"/>
    <sheet xmlns:r="http://schemas.openxmlformats.org/officeDocument/2006/relationships" name="Monthly Detail" sheetId="4" state="visible" r:id="rId4"/>
    <sheet xmlns:r="http://schemas.openxmlformats.org/officeDocument/2006/relationships" name="Per-Consultant Monthly" sheetId="5" state="visible" r:id="rId5"/>
    <sheet xmlns:r="http://schemas.openxmlformats.org/officeDocument/2006/relationships" name="GP Expenses" sheetId="6" state="visible" r:id="rId6"/>
    <sheet xmlns:r="http://schemas.openxmlformats.org/officeDocument/2006/relationships" name="Distributions Ledger" sheetId="7" state="visible" r:id="rId7"/>
    <sheet xmlns:r="http://schemas.openxmlformats.org/officeDocument/2006/relationships" name="Monthly Op Expenses" sheetId="8" state="visible" r:id="rId8"/>
    <sheet xmlns:r="http://schemas.openxmlformats.org/officeDocument/2006/relationships" name="Monthly Per-Person" sheetId="9" state="visible" r:id="rId9"/>
    <sheet xmlns:r="http://schemas.openxmlformats.org/officeDocument/2006/relationships" name="Aug 2025 Detail" sheetId="10" state="visible" r:id="rId10"/>
    <sheet xmlns:r="http://schemas.openxmlformats.org/officeDocument/2006/relationships" name="Sep 2025 Detail" sheetId="11" state="visible" r:id="rId11"/>
    <sheet xmlns:r="http://schemas.openxmlformats.org/officeDocument/2006/relationships" name="Oct 2025 Detail" sheetId="12" state="visible" r:id="rId12"/>
    <sheet xmlns:r="http://schemas.openxmlformats.org/officeDocument/2006/relationships" name="Nov 2025 Detail" sheetId="13" state="visible" r:id="rId13"/>
    <sheet xmlns:r="http://schemas.openxmlformats.org/officeDocument/2006/relationships" name="Dec 2025 Detail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C00000"/>
    </font>
    <font>
      <b val="1"/>
    </font>
    <font>
      <b val="1"/>
      <color rgb="00FFFFFF"/>
      <sz val="11"/>
    </font>
    <font>
      <b val="1"/>
      <i val="1"/>
    </font>
    <font>
      <i val="1"/>
    </font>
    <font>
      <b val="1"/>
      <sz val="11"/>
    </font>
    <font>
      <b val="1"/>
      <color rgb="00C00000"/>
    </font>
    <font>
      <i val="1"/>
      <color rgb="00999999"/>
    </font>
    <font>
      <b val="1"/>
      <color rgb="0000640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EEEEE"/>
        <bgColor rgb="00EEEEEE"/>
      </patternFill>
    </fill>
    <fill>
      <patternFill patternType="solid">
        <fgColor rgb="00E8F4FD"/>
        <bgColor rgb="00E8F4FD"/>
      </patternFill>
    </fill>
    <fill>
      <patternFill patternType="solid">
        <fgColor rgb="00D5F5E3"/>
        <bgColor rgb="00D5F5E3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164" fontId="8" fillId="3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164" fontId="0" fillId="5" borderId="0" pivotButton="0" quotePrefix="0" xfId="0"/>
    <xf numFmtId="164" fontId="4" fillId="5" borderId="0" pivotButton="0" quotePrefix="0" xfId="0"/>
    <xf numFmtId="164" fontId="7" fillId="0" borderId="0" pivotButton="0" quotePrefix="0" xfId="0"/>
    <xf numFmtId="164" fontId="9" fillId="0" borderId="0" pivotButton="0" quotePrefix="0" xfId="0"/>
    <xf numFmtId="0" fontId="11" fillId="0" borderId="0" pivotButton="0" quotePrefix="0" xfId="0"/>
    <xf numFmtId="0" fontId="4" fillId="6" borderId="0" pivotButton="0" quotePrefix="0" xfId="0"/>
    <xf numFmtId="164" fontId="4" fillId="6" borderId="0" pivotButton="0" quotePrefix="0" xfId="0"/>
    <xf numFmtId="164" fontId="2" fillId="5" borderId="0" pivotButton="0" quotePrefix="0" xfId="0"/>
    <xf numFmtId="164" fontId="2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12" fillId="0" borderId="0" pivotButton="0" quotePrefix="0" xfId="0"/>
    <xf numFmtId="0" fontId="0" fillId="3" borderId="0" pivotButton="0" quotePrefix="0" xfId="0"/>
    <xf numFmtId="164" fontId="9" fillId="3" borderId="0" pivotButton="0" quotePrefix="0" xfId="0"/>
    <xf numFmtId="164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  <col width="10" customWidth="1" min="4" max="4"/>
  </cols>
  <sheetData>
    <row r="1">
      <c r="A1" s="1" t="inlineStr">
        <is>
          <t>Armada Prime Tech LLC — 2025 Year-End P&amp;L</t>
        </is>
      </c>
    </row>
    <row r="2">
      <c r="A2" s="2" t="inlineStr">
        <is>
          <t>Period: Aug 1, 2025 – Dec 31, 2025 (entity formed at Armada Prime relaunch)</t>
        </is>
      </c>
    </row>
    <row r="3">
      <c r="A3" s="2" t="inlineStr">
        <is>
          <t>Sources: TPA Reporting Packages (gross income); Distributions Armada Tech 2025 ledger (actual paid); BEST ONE Dec 2025 Monthly Return (Dec breakdown)</t>
        </is>
      </c>
    </row>
    <row r="4" ht="30" customHeight="1">
      <c r="A4" s="3" t="inlineStr">
        <is>
          <t>TruQuant payments excluded entirely (per Nairne 2026-04-30) — TQ is not a GP expense / 1099 recipient. Aug TQ-tagged ~$6,999 stays in retained earnings → flows to K-1 net income.</t>
        </is>
      </c>
    </row>
    <row r="5">
      <c r="A5" s="4" t="inlineStr">
        <is>
          <t>Line Item</t>
        </is>
      </c>
      <c r="B5" s="4" t="inlineStr">
        <is>
          <t>Amount</t>
        </is>
      </c>
      <c r="C5" s="4" t="inlineStr">
        <is>
          <t>Note</t>
        </is>
      </c>
    </row>
    <row r="6">
      <c r="A6" s="5" t="inlineStr">
        <is>
          <t>GROSS INCOME</t>
        </is>
      </c>
      <c r="B6" s="5" t="n"/>
      <c r="C6" s="5" t="inlineStr"/>
    </row>
    <row r="7">
      <c r="A7" t="inlineStr">
        <is>
          <t xml:space="preserve">  Performance Fees from Armada Prime LLP</t>
        </is>
      </c>
      <c r="B7" s="6" t="n">
        <v>153023.03</v>
      </c>
      <c r="C7" t="inlineStr">
        <is>
          <t>TPA Performance Fees Crystallized, Aug-Dec 2025</t>
        </is>
      </c>
    </row>
    <row r="8">
      <c r="A8" s="7" t="inlineStr">
        <is>
          <t xml:space="preserve">  TOTAL GROSS INCOME</t>
        </is>
      </c>
      <c r="B8" s="8" t="n">
        <v>153023.03</v>
      </c>
      <c r="C8" s="7">
        <f> Armada Prime Tech LLC's gross 2025 receipts</f>
        <v/>
      </c>
    </row>
    <row r="9">
      <c r="A9" t="inlineStr"/>
      <c r="C9" t="inlineStr"/>
    </row>
    <row r="10">
      <c r="A10" s="5" t="inlineStr">
        <is>
          <t>LESS: 1099 EXPENSES (contractor payments — K-1 partners excluded)</t>
        </is>
      </c>
      <c r="B10" s="5" t="n"/>
      <c r="C10" s="5" t="inlineStr"/>
    </row>
    <row r="11">
      <c r="A11" t="inlineStr">
        <is>
          <t xml:space="preserve">  Consultant pool (Alec, Jake, AJ, Issac, Luke)</t>
        </is>
      </c>
      <c r="B11" s="6" t="n">
        <v>86754.81</v>
      </c>
      <c r="C11" t="inlineStr">
        <is>
          <t>See 1099 Summary tab for per-consultant breakdown</t>
        </is>
      </c>
    </row>
    <row r="12">
      <c r="A12" s="7" t="inlineStr">
        <is>
          <t xml:space="preserve">  TOTAL 1099 EXPENSES</t>
        </is>
      </c>
      <c r="B12" s="8" t="n">
        <v>86754.81</v>
      </c>
      <c r="C12" s="7" t="inlineStr"/>
    </row>
    <row r="13">
      <c r="A13" t="inlineStr"/>
      <c r="C13" t="inlineStr"/>
    </row>
    <row r="14">
      <c r="A14" s="5" t="inlineStr">
        <is>
          <t>LESS: GP-PAID OPERATING EXPENSES</t>
        </is>
      </c>
      <c r="B14" s="5" t="n"/>
      <c r="C14" s="5" t="inlineStr"/>
    </row>
    <row r="15">
      <c r="A15" t="inlineStr">
        <is>
          <t xml:space="preserve">  Vendor expenses (Chris, Insurance, PVD, Website, etc.)</t>
        </is>
      </c>
      <c r="B15" s="6" t="n">
        <v>55225</v>
      </c>
      <c r="C15" t="inlineStr">
        <is>
          <t>See GP Expenses tab. Includes items likely needing reclass (SPV loans → balance sheet, Insurance pro-rata).</t>
        </is>
      </c>
    </row>
    <row r="16">
      <c r="A16" t="inlineStr"/>
      <c r="C16" t="inlineStr"/>
    </row>
    <row r="17">
      <c r="A17" t="inlineStr">
        <is>
          <t>PARTNERSHIP NET INCOME (allocated to K-1 partners)</t>
        </is>
      </c>
      <c r="B17" s="6" t="n">
        <v>11043.21999999997</v>
      </c>
      <c r="C17" t="inlineStr">
        <is>
          <t>Gross - 1099 expenses - Op expenses. This is what flows to K-1s.</t>
        </is>
      </c>
    </row>
    <row r="18">
      <c r="A18" t="inlineStr"/>
      <c r="C18" t="inlineStr"/>
    </row>
    <row r="19">
      <c r="A19" s="5" t="inlineStr">
        <is>
          <t>K-1 ALLOCATION (per ownership: Nairne 60% / Raj 0.5% / Phil 0.5%)</t>
        </is>
      </c>
      <c r="B19" s="5" t="n"/>
      <c r="C19" s="5" t="inlineStr"/>
    </row>
    <row r="20">
      <c r="A20" t="inlineStr">
        <is>
          <t xml:space="preserve">  Nairne — Fund Mgmt 59.5% slice received as cash</t>
        </is>
      </c>
      <c r="B20" s="6" t="n">
        <v>0</v>
      </c>
      <c r="C20" t="inlineStr">
        <is>
          <t>Reported as K-1 income (partner allocation, not expense)</t>
        </is>
      </c>
    </row>
    <row r="21">
      <c r="A21" t="inlineStr">
        <is>
          <t xml:space="preserve">  Nairne — direct 0.5% slice received as cash</t>
        </is>
      </c>
      <c r="B21" s="6" t="n">
        <v>34188.88</v>
      </c>
      <c r="C21" t="inlineStr">
        <is>
          <t>Reported as K-1 income</t>
        </is>
      </c>
    </row>
    <row r="22">
      <c r="A22" t="inlineStr">
        <is>
          <t xml:space="preserve">  Nairne — TOTAL cash received (60% of perf fees)</t>
        </is>
      </c>
      <c r="B22" s="6" t="n">
        <v>34188.88</v>
      </c>
      <c r="C22">
        <f> Fund Mgmt + direct slice</f>
        <v/>
      </c>
    </row>
    <row r="23">
      <c r="A23" t="inlineStr">
        <is>
          <t xml:space="preserve">  Raj — direct 0.5% slice received as cash</t>
        </is>
      </c>
      <c r="B23" s="6" t="n">
        <v>946.97</v>
      </c>
      <c r="C23" t="inlineStr">
        <is>
          <t>Reported as K-1 income</t>
        </is>
      </c>
    </row>
    <row r="24">
      <c r="A24" t="inlineStr">
        <is>
          <t xml:space="preserve">  Phil — direct 0.5% slice received as cash</t>
        </is>
      </c>
      <c r="B24" s="6" t="n">
        <v>946.97</v>
      </c>
      <c r="C24" t="inlineStr">
        <is>
          <t>Reported as K-1 income (Phil corrected to K-1 partner per Nairne 2026-05-05)</t>
        </is>
      </c>
    </row>
    <row r="25">
      <c r="A25" t="inlineStr"/>
      <c r="C25" t="inlineStr"/>
    </row>
    <row r="26">
      <c r="A26" t="inlineStr">
        <is>
          <t>(K-1 net income vs cash distributions reconcile on accountant's K-1 forms)</t>
        </is>
      </c>
      <c r="C26" t="inlineStr">
        <is>
          <t>Cash received above is what each partner got operationally. The K-1 'net income' line above is the partnership's taxable income — accountant allocates it per the operating agreement.</t>
        </is>
      </c>
    </row>
    <row r="27"/>
    <row r="28">
      <c r="A28" s="9" t="inlineStr">
        <is>
          <t>CROSS-CHECK</t>
        </is>
      </c>
    </row>
    <row r="29">
      <c r="A29" t="inlineStr">
        <is>
          <t>Total cash out (1099s $86,754.81 + Nairne K-1 $34,188.88 + Raj K-1 $946.97 + Phil K-1 $946.97)</t>
        </is>
      </c>
      <c r="B29" s="6" t="n">
        <v>122837.63</v>
      </c>
      <c r="C29" s="10" t="inlineStr">
        <is>
          <t>vs Gross $153,023.03 — delta $30,185.40 (= retained / cash-vs-accrual / TQ exclusion)</t>
        </is>
      </c>
    </row>
    <row r="30">
      <c r="A30" s="2" t="inlineStr">
        <is>
          <t>Operating expenses + retained should equal the delta above (with cash-vs-accrual smoothing).</t>
        </is>
      </c>
    </row>
  </sheetData>
  <mergeCells count="5">
    <mergeCell ref="A1:D1"/>
    <mergeCell ref="A4:D4"/>
    <mergeCell ref="A3:D3"/>
    <mergeCell ref="A30:C3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50" customWidth="1" min="4" max="4"/>
    <col width="19" customWidth="1" min="5" max="5"/>
    <col width="30" customWidth="1" min="6" max="6"/>
  </cols>
  <sheetData>
    <row r="1">
      <c r="A1" s="1" t="inlineStr">
        <is>
          <t>Armada Prime Tech LLC — 2025 1099-NEC Recipients</t>
        </is>
      </c>
    </row>
    <row r="2">
      <c r="A2" s="2" t="inlineStr">
        <is>
          <t>All amounts cover Aug 1, 2025 – Dec 31, 2025. Tax-classification: per Nairne 2026-04-30 — Raj/Nairne are K-1 members; everyone else is 1099.</t>
        </is>
      </c>
    </row>
    <row r="3"/>
    <row r="4">
      <c r="A4" s="4" t="inlineStr">
        <is>
          <t>Recipient</t>
        </is>
      </c>
      <c r="B4" s="4" t="inlineStr">
        <is>
          <t>2025 Total ($)</t>
        </is>
      </c>
      <c r="C4" s="4" t="inlineStr">
        <is>
          <t>Type</t>
        </is>
      </c>
      <c r="D4" s="4" t="inlineStr">
        <is>
          <t>Source of $</t>
        </is>
      </c>
      <c r="E4" s="4" t="inlineStr">
        <is>
          <t>EIN/SSN (fill in)</t>
        </is>
      </c>
      <c r="F4" s="4" t="inlineStr">
        <is>
          <t>Address (fill in)</t>
        </is>
      </c>
    </row>
    <row r="5">
      <c r="A5" t="inlineStr">
        <is>
          <t>Alec Atkinson</t>
        </is>
      </c>
      <c r="B5" s="6" t="n">
        <v>38076.87</v>
      </c>
      <c r="C5" t="inlineStr">
        <is>
          <t>Individual 1099</t>
        </is>
      </c>
      <c r="D5" t="inlineStr">
        <is>
          <t>From Distributions ledger (cash actually paid)</t>
        </is>
      </c>
      <c r="E5" t="inlineStr"/>
      <c r="F5" t="inlineStr"/>
    </row>
    <row r="6">
      <c r="A6" t="inlineStr">
        <is>
          <t>AJ Affleck</t>
        </is>
      </c>
      <c r="B6" s="6" t="n">
        <v>37139.89</v>
      </c>
      <c r="C6" t="inlineStr">
        <is>
          <t>Individual 1099</t>
        </is>
      </c>
      <c r="D6" t="inlineStr">
        <is>
          <t>From Distributions ledger (cash actually paid)</t>
        </is>
      </c>
      <c r="E6" t="inlineStr"/>
      <c r="F6" t="inlineStr"/>
    </row>
    <row r="7">
      <c r="A7" t="inlineStr">
        <is>
          <t>Jake Gordon</t>
        </is>
      </c>
      <c r="B7" s="6" t="n">
        <v>10388.66</v>
      </c>
      <c r="C7" t="inlineStr">
        <is>
          <t>Individual 1099</t>
        </is>
      </c>
      <c r="D7" t="inlineStr">
        <is>
          <t>From Distributions ledger (cash actually paid)</t>
        </is>
      </c>
      <c r="E7" t="inlineStr"/>
      <c r="F7" t="inlineStr"/>
    </row>
    <row r="8">
      <c r="A8" t="inlineStr">
        <is>
          <t>Issac</t>
        </is>
      </c>
      <c r="B8" s="6" t="n">
        <v>761.49</v>
      </c>
      <c r="C8" t="inlineStr">
        <is>
          <t>Individual 1099</t>
        </is>
      </c>
      <c r="D8" t="inlineStr">
        <is>
          <t>From Distributions ledger (cash actually paid)</t>
        </is>
      </c>
      <c r="E8" t="inlineStr"/>
      <c r="F8" t="inlineStr"/>
    </row>
    <row r="9">
      <c r="A9" t="inlineStr">
        <is>
          <t>Nikki</t>
        </is>
      </c>
      <c r="B9" s="6" t="n">
        <v>223</v>
      </c>
      <c r="C9" t="inlineStr">
        <is>
          <t>Individual 1099</t>
        </is>
      </c>
      <c r="D9" t="inlineStr">
        <is>
          <t>From Distributions ledger (cash actually paid)</t>
        </is>
      </c>
      <c r="E9" t="inlineStr"/>
      <c r="F9" t="inlineStr"/>
    </row>
    <row r="10">
      <c r="A10" t="inlineStr">
        <is>
          <t>Luke</t>
        </is>
      </c>
      <c r="B10" s="6" t="n">
        <v>164.9</v>
      </c>
      <c r="C10" t="inlineStr">
        <is>
          <t>Individual 1099</t>
        </is>
      </c>
      <c r="D10" t="inlineStr">
        <is>
          <t>From Distributions ledger (cash actually paid)</t>
        </is>
      </c>
      <c r="E10" t="inlineStr"/>
      <c r="F10" t="inlineStr"/>
    </row>
    <row r="11">
      <c r="A11" s="11" t="inlineStr">
        <is>
          <t>TOTAL 1099 PAYMENTS</t>
        </is>
      </c>
      <c r="B11" s="12" t="n">
        <v>86754.81</v>
      </c>
      <c r="C11" s="11" t="n"/>
      <c r="D11" s="11" t="n"/>
      <c r="E11" s="11" t="n"/>
      <c r="F11" s="11" t="n"/>
    </row>
    <row r="12"/>
    <row r="13">
      <c r="A13" s="10" t="inlineStr">
        <is>
          <t>K-1 partner cash distributions (NOT on 1099s): Nairne $34,188.88 + Raj $946.97 = $35,135.85</t>
        </is>
      </c>
    </row>
    <row r="14">
      <c r="A14" s="10" t="inlineStr">
        <is>
          <t>Cross-check: 1099 total ($86,754.81) + K-1 cash ($35,135.85) = $121,890.66; Gross perf fees per TPA = $153,023.03; delta = $31,132.37 (cash-vs-accrual timing + Aug TQ-T&amp;D excluded)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28" customWidth="1" min="4" max="4"/>
    <col width="35" customWidth="1" min="5" max="5"/>
  </cols>
  <sheetData>
    <row r="1">
      <c r="A1" s="1" t="inlineStr">
        <is>
          <t>Armada Prime Tech LLC — 2025 K-1 Members</t>
        </is>
      </c>
    </row>
    <row r="2">
      <c r="A2" s="2" t="inlineStr">
        <is>
          <t>Members per Nairne 2026-05-05: Nairne (60% — Fund Mgmt 59.5% + direct 0.5%), Raj Duggal (0.5%), and Phil (0.5%). Net income allocated per the operating agreement.</t>
        </is>
      </c>
    </row>
    <row r="3"/>
    <row r="4">
      <c r="A4" s="4" t="inlineStr">
        <is>
          <t>Member</t>
        </is>
      </c>
      <c r="B4" s="4" t="inlineStr">
        <is>
          <t>Ownership %</t>
        </is>
      </c>
      <c r="C4" s="4" t="inlineStr">
        <is>
          <t>Cash Distributions ($)</t>
        </is>
      </c>
      <c r="D4" s="4" t="inlineStr">
        <is>
          <t>Allocated Share of Net Income ($)</t>
        </is>
      </c>
      <c r="E4" s="4" t="inlineStr">
        <is>
          <t>SSN/EIN + Address (fill in)</t>
        </is>
      </c>
    </row>
    <row r="5">
      <c r="A5" t="inlineStr">
        <is>
          <t>Nairne</t>
        </is>
      </c>
      <c r="B5" t="inlineStr">
        <is>
          <t>98.36%</t>
        </is>
      </c>
      <c r="C5" s="6" t="n">
        <v>34188.88</v>
      </c>
      <c r="D5" s="6" t="n">
        <v>10862.18360655735</v>
      </c>
      <c r="E5" t="inlineStr"/>
    </row>
    <row r="6">
      <c r="A6" t="inlineStr">
        <is>
          <t>Raj Duggal</t>
        </is>
      </c>
      <c r="B6" t="inlineStr">
        <is>
          <t>0.82%</t>
        </is>
      </c>
      <c r="C6" s="6" t="n">
        <v>946.97</v>
      </c>
      <c r="D6" s="6" t="n">
        <v>90.51819672131126</v>
      </c>
      <c r="E6" t="inlineStr"/>
    </row>
    <row r="7">
      <c r="A7" t="inlineStr">
        <is>
          <t>Phil</t>
        </is>
      </c>
      <c r="B7" t="inlineStr">
        <is>
          <t>0.82%</t>
        </is>
      </c>
      <c r="C7" s="6" t="n">
        <v>946.97</v>
      </c>
      <c r="D7" s="6" t="n">
        <v>90.51819672131126</v>
      </c>
      <c r="E7" t="inlineStr"/>
    </row>
    <row r="8"/>
    <row r="9">
      <c r="A9" s="5" t="inlineStr">
        <is>
          <t>K-1 ARITHMETIC</t>
        </is>
      </c>
    </row>
    <row r="10">
      <c r="A10" t="inlineStr">
        <is>
          <t>GP Gross Income (TPA Perf Fees Crystallized): $153,023.03</t>
        </is>
      </c>
    </row>
    <row r="11">
      <c r="A11" t="inlineStr">
        <is>
          <t>Less: 1099 contractor expenses (Alec/Jake/AJ/Issac/Luke): $86,754.81</t>
        </is>
      </c>
    </row>
    <row r="12">
      <c r="A12" t="inlineStr">
        <is>
          <t>Less: GP-paid operating expenses: $55,225.00</t>
        </is>
      </c>
    </row>
    <row r="13">
      <c r="A13">
        <f> Partnership NET INCOME (allocated to K-1s): $11,043.22</f>
        <v/>
      </c>
    </row>
    <row r="14">
      <c r="A14" t="inlineStr">
        <is>
          <t>Nairne allocated share (98.36%): $10,862.18</t>
        </is>
      </c>
    </row>
    <row r="15">
      <c r="A15" t="inlineStr">
        <is>
          <t>Raj allocated share (0.82%): $90.52</t>
        </is>
      </c>
    </row>
    <row r="16">
      <c r="A16" t="inlineStr">
        <is>
          <t>Phil allocated share (0.82%): $90.52</t>
        </is>
      </c>
    </row>
    <row r="17"/>
    <row r="18">
      <c r="A18" s="13" t="inlineStr">
        <is>
          <t>NOTES</t>
        </is>
      </c>
    </row>
    <row r="19" ht="30" customHeight="1">
      <c r="A19" s="14" t="inlineStr">
        <is>
          <t>Fund Mgmt 59.5% slice is Nairne's K-1 income (per Nairne 2026-04-30 — it's not a separate entity 1099).</t>
        </is>
      </c>
    </row>
    <row r="20" ht="30" customHeight="1">
      <c r="A20" s="14" t="inlineStr">
        <is>
          <t>Cash distributions and allocated K-1 net income are different things in partnership tax — Schedule K-1 reports both. The accountant will compute capital account changes.</t>
        </is>
      </c>
    </row>
    <row r="21" ht="30" customHeight="1">
      <c r="A21" s="14" t="inlineStr">
        <is>
          <t>Operating expenses include items that may be reclassed by the accountant (506c SPV Loans → balance sheet; Insurance $18k may need annual proration).</t>
        </is>
      </c>
    </row>
    <row r="22" ht="30" customHeight="1">
      <c r="A22" s="14" t="inlineStr">
        <is>
          <t>Cash-basis 1099s (above) may differ from accrual-basis (TPA-derived). Confirm GP's tax basis with accountant.</t>
        </is>
      </c>
    </row>
    <row r="23" ht="30" customHeight="1">
      <c r="A23" s="14" t="inlineStr">
        <is>
          <t>TruQuant payments are excluded per Nairne 2026-04-30 (TQ is not a GP expense).</t>
        </is>
      </c>
    </row>
    <row r="24" ht="30" customHeight="1">
      <c r="A24" s="14" t="inlineStr">
        <is>
          <t>Ownership % shown (Nairne 98.36%/Raj 0.82%/Phil 0.82%) is derived from the 60/0.5/0.5 split. The actual LLC operating agreement governs — confirm with the accountant before filing.</t>
        </is>
      </c>
    </row>
  </sheetData>
  <mergeCells count="15">
    <mergeCell ref="A21:E21"/>
    <mergeCell ref="A12:E12"/>
    <mergeCell ref="A20:E20"/>
    <mergeCell ref="A24:E24"/>
    <mergeCell ref="A2:E2"/>
    <mergeCell ref="A16:E16"/>
    <mergeCell ref="A15:E15"/>
    <mergeCell ref="A10:E10"/>
    <mergeCell ref="A19:E19"/>
    <mergeCell ref="A11:E11"/>
    <mergeCell ref="A1:E1"/>
    <mergeCell ref="A23:E23"/>
    <mergeCell ref="A13:E13"/>
    <mergeCell ref="A14:E14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9" customWidth="1" min="3" max="3"/>
    <col width="27" customWidth="1" min="4" max="4"/>
    <col width="19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Per-Month TPA Roll-Up (Aug-Dec 2025)</t>
        </is>
      </c>
    </row>
    <row r="2"/>
    <row r="3">
      <c r="A3" s="4" t="inlineStr">
        <is>
          <t>Month</t>
        </is>
      </c>
      <c r="B3" s="4" t="inlineStr">
        <is>
          <t>Investor Count</t>
        </is>
      </c>
      <c r="C3" s="4" t="inlineStr">
        <is>
          <t>Fund Gross Income (82% cut)</t>
        </is>
      </c>
      <c r="D3" s="4" t="inlineStr">
        <is>
          <t>GP Perf Fees Crystallized</t>
        </is>
      </c>
      <c r="E3" s="4" t="inlineStr">
        <is>
          <t>Fund Mgmt 59.5%</t>
        </is>
      </c>
      <c r="F3" s="4" t="inlineStr">
        <is>
          <t>Consultant Pool 39%</t>
        </is>
      </c>
      <c r="G3" s="4" t="inlineStr">
        <is>
          <t>Phil 0.5%</t>
        </is>
      </c>
      <c r="H3" s="4" t="inlineStr">
        <is>
          <t>Raj 0.5%</t>
        </is>
      </c>
      <c r="I3" s="4" t="inlineStr">
        <is>
          <t>Nairne 0.5%</t>
        </is>
      </c>
    </row>
    <row r="4">
      <c r="A4" t="inlineStr">
        <is>
          <t>Aug 2025</t>
        </is>
      </c>
      <c r="B4" s="15" t="n">
        <v>18</v>
      </c>
      <c r="C4" s="6" t="n">
        <v>51360.02</v>
      </c>
      <c r="D4" s="6" t="n">
        <v>15355.51</v>
      </c>
      <c r="E4" s="6" t="n">
        <v>9136.528450000002</v>
      </c>
      <c r="F4" s="6" t="n">
        <v>5988.648900000001</v>
      </c>
      <c r="G4" s="6" t="n">
        <v>76.77755000000001</v>
      </c>
      <c r="H4" s="6" t="n">
        <v>76.77755000000001</v>
      </c>
      <c r="I4" s="6" t="n">
        <v>76.77755000000001</v>
      </c>
    </row>
    <row r="5">
      <c r="A5" t="inlineStr">
        <is>
          <t>Sep 2025</t>
        </is>
      </c>
      <c r="B5" s="15" t="n">
        <v>29</v>
      </c>
      <c r="C5" s="6" t="n">
        <v>74798.7</v>
      </c>
      <c r="D5" s="6" t="n">
        <v>12474.75</v>
      </c>
      <c r="E5" s="6" t="n">
        <v>7422.476250000001</v>
      </c>
      <c r="F5" s="6" t="n">
        <v>4865.152500000001</v>
      </c>
      <c r="G5" s="6" t="n">
        <v>62.37375000000001</v>
      </c>
      <c r="H5" s="6" t="n">
        <v>62.37375000000001</v>
      </c>
      <c r="I5" s="6" t="n">
        <v>62.37375000000001</v>
      </c>
    </row>
    <row r="6">
      <c r="A6" t="inlineStr">
        <is>
          <t>Oct 2025</t>
        </is>
      </c>
      <c r="B6" s="15" t="n">
        <v>35</v>
      </c>
      <c r="C6" s="6" t="n">
        <v>173713.66</v>
      </c>
      <c r="D6" s="6" t="n">
        <v>51906.99</v>
      </c>
      <c r="E6" s="6" t="n">
        <v>30884.65905</v>
      </c>
      <c r="F6" s="6" t="n">
        <v>20243.7261</v>
      </c>
      <c r="G6" s="6" t="n">
        <v>259.53495</v>
      </c>
      <c r="H6" s="6" t="n">
        <v>259.53495</v>
      </c>
      <c r="I6" s="6" t="n">
        <v>259.53495</v>
      </c>
    </row>
    <row r="7">
      <c r="A7" t="inlineStr">
        <is>
          <t>Nov 2025</t>
        </is>
      </c>
      <c r="B7" s="15" t="n">
        <v>40</v>
      </c>
      <c r="C7" s="6" t="n">
        <v>190568.39</v>
      </c>
      <c r="D7" s="6" t="n">
        <v>57074.08999999997</v>
      </c>
      <c r="E7" s="6" t="n">
        <v>33959.08354999998</v>
      </c>
      <c r="F7" s="6" t="n">
        <v>22258.89509999999</v>
      </c>
      <c r="G7" s="6" t="n">
        <v>285.3704499999998</v>
      </c>
      <c r="H7" s="6" t="n">
        <v>285.3704499999998</v>
      </c>
      <c r="I7" s="6" t="n">
        <v>285.3704499999998</v>
      </c>
    </row>
    <row r="8">
      <c r="A8" t="inlineStr">
        <is>
          <t>Dec 2025</t>
        </is>
      </c>
      <c r="B8" s="15" t="n">
        <v>45</v>
      </c>
      <c r="C8" s="6" t="n">
        <v>100636.99</v>
      </c>
      <c r="D8" s="6" t="n">
        <v>16211.69</v>
      </c>
      <c r="E8" s="6" t="n">
        <v>9645.955550000001</v>
      </c>
      <c r="F8" s="6" t="n">
        <v>6322.559100000001</v>
      </c>
      <c r="G8" s="6" t="n">
        <v>81.05845000000001</v>
      </c>
      <c r="H8" s="6" t="n">
        <v>81.05845000000001</v>
      </c>
      <c r="I8" s="6" t="n">
        <v>81.05845000000001</v>
      </c>
    </row>
    <row r="9">
      <c r="A9" s="11" t="inlineStr">
        <is>
          <t>2025 TOTAL</t>
        </is>
      </c>
      <c r="B9" s="11" t="n"/>
      <c r="C9" s="12" t="n">
        <v>591077.76</v>
      </c>
      <c r="D9" s="12" t="n">
        <v>153023.03</v>
      </c>
      <c r="E9" s="12" t="n">
        <v>91048.70284999997</v>
      </c>
      <c r="F9" s="12" t="n">
        <v>59678.98169999999</v>
      </c>
      <c r="G9" s="12" t="n">
        <v>765.1151499999999</v>
      </c>
      <c r="H9" s="12" t="n">
        <v>765.1151499999999</v>
      </c>
      <c r="I9" s="12" t="n">
        <v>765.1151499999999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Per-Consultant 39% Pool Allocation by Month</t>
        </is>
      </c>
    </row>
    <row r="2">
      <c r="A2" s="2" t="inlineStr">
        <is>
          <t>Each cell = consultant_cut (39% × sum of their investors' perf_fees that month). Used for 1099 cross-check vs per-consultant tracker xlsx files.</t>
        </is>
      </c>
    </row>
    <row r="3"/>
    <row r="4">
      <c r="A4" s="4" t="inlineStr">
        <is>
          <t>Consultant</t>
        </is>
      </c>
      <c r="B4" s="4" t="inlineStr">
        <is>
          <t>Aug 2025</t>
        </is>
      </c>
      <c r="C4" s="4" t="inlineStr">
        <is>
          <t>Sep 2025</t>
        </is>
      </c>
      <c r="D4" s="4" t="inlineStr">
        <is>
          <t>Oct 2025</t>
        </is>
      </c>
      <c r="E4" s="4" t="inlineStr">
        <is>
          <t>Nov 2025</t>
        </is>
      </c>
      <c r="F4" s="4" t="inlineStr">
        <is>
          <t>Dec 2025</t>
        </is>
      </c>
      <c r="G4" s="4" t="inlineStr">
        <is>
          <t>2025 Total</t>
        </is>
      </c>
    </row>
    <row r="5">
      <c r="A5" t="inlineStr">
        <is>
          <t>Alec Atkinson</t>
        </is>
      </c>
      <c r="B5" s="6" t="n">
        <v>3906.754800000001</v>
      </c>
      <c r="C5" s="6" t="n">
        <v>3325.740600000001</v>
      </c>
      <c r="D5" s="6" t="n">
        <v>13381.5903</v>
      </c>
      <c r="E5" s="6" t="n">
        <v>13759.1142</v>
      </c>
      <c r="F5" s="6" t="n">
        <v>4318.2789</v>
      </c>
      <c r="G5" s="16" t="n">
        <v>38691.4788</v>
      </c>
    </row>
    <row r="6">
      <c r="A6" t="inlineStr">
        <is>
          <t>Jake Gordon</t>
        </is>
      </c>
      <c r="B6" s="6" t="n">
        <v>1559.4072</v>
      </c>
      <c r="C6" s="6" t="n">
        <v>902.1168</v>
      </c>
      <c r="D6" s="6" t="n">
        <v>3771.5379</v>
      </c>
      <c r="E6" s="6" t="n">
        <v>4182.8397</v>
      </c>
      <c r="F6" s="6" t="n">
        <v>882.3828</v>
      </c>
      <c r="G6" s="16" t="n">
        <v>11298.2844</v>
      </c>
    </row>
    <row r="7">
      <c r="A7" t="inlineStr">
        <is>
          <t>Fund Hub SPV (Pending Split)</t>
        </is>
      </c>
      <c r="B7" s="6" t="n">
        <v>0</v>
      </c>
      <c r="C7" s="6" t="n">
        <v>355.3641</v>
      </c>
      <c r="D7" s="6" t="n">
        <v>1681.0911</v>
      </c>
      <c r="E7" s="6" t="n">
        <v>2130.8508</v>
      </c>
      <c r="F7" s="6" t="n">
        <v>635.4503999999999</v>
      </c>
      <c r="G7" s="16" t="n">
        <v>4802.7564</v>
      </c>
    </row>
    <row r="8">
      <c r="A8" t="inlineStr">
        <is>
          <t>AJ Affleck</t>
        </is>
      </c>
      <c r="B8" s="6" t="n">
        <v>413.1504</v>
      </c>
      <c r="C8" s="6" t="n">
        <v>199.3329</v>
      </c>
      <c r="D8" s="6" t="n">
        <v>1013.4774</v>
      </c>
      <c r="E8" s="6" t="n">
        <v>1173.1161</v>
      </c>
      <c r="F8" s="6" t="n">
        <v>374.5989</v>
      </c>
      <c r="G8" s="16" t="n">
        <v>3173.6757</v>
      </c>
    </row>
    <row r="9">
      <c r="A9" t="inlineStr">
        <is>
          <t>Isaac</t>
        </is>
      </c>
      <c r="B9" s="6" t="n">
        <v>0</v>
      </c>
      <c r="C9" s="6" t="n">
        <v>0</v>
      </c>
      <c r="D9" s="6" t="n">
        <v>396.0294</v>
      </c>
      <c r="E9" s="6" t="n">
        <v>1012.9743</v>
      </c>
      <c r="F9" s="6" t="n">
        <v>0</v>
      </c>
      <c r="G9" s="16" t="n">
        <v>1409.0037</v>
      </c>
    </row>
    <row r="10">
      <c r="A10" t="inlineStr">
        <is>
          <t>TruQuant</t>
        </is>
      </c>
      <c r="B10" s="6" t="n">
        <v>109.3365</v>
      </c>
      <c r="C10" s="6" t="n">
        <v>82.5981</v>
      </c>
      <c r="D10" s="6" t="n">
        <v>0</v>
      </c>
      <c r="E10" s="6" t="n">
        <v>0</v>
      </c>
      <c r="F10" s="6" t="n">
        <v>0</v>
      </c>
      <c r="G10" s="16" t="n">
        <v>191.9346</v>
      </c>
    </row>
    <row r="11">
      <c r="A11" t="inlineStr">
        <is>
          <t>Luke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74.38860000000001</v>
      </c>
      <c r="G11" s="16" t="n">
        <v>74.38860000000001</v>
      </c>
    </row>
    <row r="12">
      <c r="A12" t="inlineStr">
        <is>
          <t>Raj (Split)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37.4595</v>
      </c>
      <c r="G12" s="16" t="n">
        <v>37.4595</v>
      </c>
    </row>
    <row r="13">
      <c r="A13" s="11" t="inlineStr">
        <is>
          <t>TOTAL</t>
        </is>
      </c>
      <c r="B13" s="12" t="n">
        <v>5988.648900000001</v>
      </c>
      <c r="C13" s="12" t="n">
        <v>4865.152500000001</v>
      </c>
      <c r="D13" s="12" t="n">
        <v>20243.7261</v>
      </c>
      <c r="E13" s="12" t="n">
        <v>22258.8951</v>
      </c>
      <c r="F13" s="12" t="n">
        <v>6322.5591</v>
      </c>
      <c r="G13" s="12" t="n">
        <v>59678.9817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2" customWidth="1" min="4" max="4"/>
    <col width="50" customWidth="1" min="5" max="5"/>
  </cols>
  <sheetData>
    <row r="1">
      <c r="A1" s="1" t="inlineStr">
        <is>
          <t>GP-Paid Operating Expenses (Aug-Dec 2025)</t>
        </is>
      </c>
    </row>
    <row r="2">
      <c r="A2" s="2" t="inlineStr">
        <is>
          <t>Only expenses paid by Armada Prime Tech LLC. Source: 'Costs' section of each month's Distributions Armada Tech 2025 ledger; Dec from BEST ONE Costs sheet.</t>
        </is>
      </c>
    </row>
    <row r="3"/>
    <row r="4">
      <c r="A4" s="4" t="inlineStr">
        <is>
          <t>Month</t>
        </is>
      </c>
      <c r="B4" s="4" t="inlineStr">
        <is>
          <t>Vendor / Line Item</t>
        </is>
      </c>
      <c r="C4" s="4" t="inlineStr">
        <is>
          <t>Amount</t>
        </is>
      </c>
      <c r="D4" s="4" t="inlineStr">
        <is>
          <t>Category</t>
        </is>
      </c>
      <c r="E4" s="4" t="inlineStr">
        <is>
          <t>Source</t>
        </is>
      </c>
    </row>
    <row r="5">
      <c r="A5" t="inlineStr">
        <is>
          <t>Aug 2025</t>
        </is>
      </c>
      <c r="B5" t="inlineStr">
        <is>
          <t>506c SPV Loan</t>
        </is>
      </c>
      <c r="C5" s="6" t="n">
        <v>4275</v>
      </c>
      <c r="D5" t="inlineStr">
        <is>
          <t>Loan/SPV</t>
        </is>
      </c>
      <c r="E5" t="inlineStr">
        <is>
          <t>Distributions ledger — Aug 2025 sheet</t>
        </is>
      </c>
    </row>
    <row r="6">
      <c r="A6" t="inlineStr">
        <is>
          <t>Aug 2025</t>
        </is>
      </c>
      <c r="B6" t="inlineStr">
        <is>
          <t>PVD</t>
        </is>
      </c>
      <c r="C6" s="6" t="n">
        <v>6000</v>
      </c>
      <c r="D6" t="inlineStr">
        <is>
          <t>Tech/Ads</t>
        </is>
      </c>
      <c r="E6" t="inlineStr">
        <is>
          <t>Distributions ledger — Aug 2025 sheet</t>
        </is>
      </c>
    </row>
    <row r="7">
      <c r="A7" s="17" t="inlineStr">
        <is>
          <t>Aug 2025 subtotal</t>
        </is>
      </c>
      <c r="B7" s="17" t="n"/>
      <c r="C7" s="18" t="n">
        <v>10275</v>
      </c>
      <c r="D7" s="17" t="n"/>
      <c r="E7" s="17" t="n"/>
    </row>
    <row r="8">
      <c r="A8" t="inlineStr">
        <is>
          <t>Sep 2025</t>
        </is>
      </c>
      <c r="B8" s="19" t="inlineStr">
        <is>
          <t>(no GP-paid op expenses recorded)</t>
        </is>
      </c>
    </row>
    <row r="9">
      <c r="A9" t="inlineStr">
        <is>
          <t>Oct 2025</t>
        </is>
      </c>
      <c r="B9" t="inlineStr">
        <is>
          <t>Website</t>
        </is>
      </c>
      <c r="C9" s="6" t="n">
        <v>7500</v>
      </c>
      <c r="D9" t="inlineStr">
        <is>
          <t>Marketing/Web</t>
        </is>
      </c>
      <c r="E9" t="inlineStr">
        <is>
          <t>Distributions ledger — Oct 2025 sheet</t>
        </is>
      </c>
    </row>
    <row r="10">
      <c r="A10" s="17" t="inlineStr">
        <is>
          <t>Oct 2025 subtotal</t>
        </is>
      </c>
      <c r="B10" s="17" t="n"/>
      <c r="C10" s="18" t="n">
        <v>7500</v>
      </c>
      <c r="D10" s="17" t="n"/>
      <c r="E10" s="17" t="n"/>
    </row>
    <row r="11">
      <c r="A11" t="inlineStr">
        <is>
          <t>Nov 2025</t>
        </is>
      </c>
      <c r="B11" t="inlineStr">
        <is>
          <t>Consulting</t>
        </is>
      </c>
      <c r="C11" s="6" t="n">
        <v>7500</v>
      </c>
      <c r="D11" t="inlineStr">
        <is>
          <t>Consulting</t>
        </is>
      </c>
      <c r="E11" t="inlineStr">
        <is>
          <t>Distributions ledger — Nov 2025 sheet</t>
        </is>
      </c>
    </row>
    <row r="12">
      <c r="A12" t="inlineStr">
        <is>
          <t>Nov 2025</t>
        </is>
      </c>
      <c r="B12" t="inlineStr">
        <is>
          <t>Alpha Verification</t>
        </is>
      </c>
      <c r="C12" s="6" t="n">
        <v>2250</v>
      </c>
      <c r="D12" t="inlineStr">
        <is>
          <t>Verification/Compliance</t>
        </is>
      </c>
      <c r="E12" t="inlineStr">
        <is>
          <t>Distributions ledger — Nov 2025 sheet</t>
        </is>
      </c>
    </row>
    <row r="13">
      <c r="A13" t="inlineStr">
        <is>
          <t>Nov 2025</t>
        </is>
      </c>
      <c r="B13" t="inlineStr">
        <is>
          <t>Formidium (TPA)</t>
        </is>
      </c>
      <c r="C13" s="6" t="n">
        <v>600</v>
      </c>
      <c r="D13" t="inlineStr">
        <is>
          <t>Admin / TPA Fee</t>
        </is>
      </c>
      <c r="E13" t="inlineStr">
        <is>
          <t>Distributions ledger — Nov 2025 sheet</t>
        </is>
      </c>
    </row>
    <row r="14">
      <c r="A14" s="17" t="inlineStr">
        <is>
          <t>Nov 2025 subtotal</t>
        </is>
      </c>
      <c r="B14" s="17" t="n"/>
      <c r="C14" s="18" t="n">
        <v>10350</v>
      </c>
      <c r="D14" s="17" t="n"/>
      <c r="E14" s="17" t="n"/>
    </row>
    <row r="15">
      <c r="A15" t="inlineStr">
        <is>
          <t>Dec 2025</t>
        </is>
      </c>
      <c r="B15" t="inlineStr">
        <is>
          <t>Chris</t>
        </is>
      </c>
      <c r="C15" s="6" t="n">
        <v>4000</v>
      </c>
      <c r="D15" t="inlineStr">
        <is>
          <t>Payroll/Contractor</t>
        </is>
      </c>
      <c r="E15" t="inlineStr">
        <is>
          <t>BEST ONE Dec Costs</t>
        </is>
      </c>
    </row>
    <row r="16">
      <c r="A16" t="inlineStr">
        <is>
          <t>Dec 2025</t>
        </is>
      </c>
      <c r="B16" t="inlineStr">
        <is>
          <t>TPA (Formidium)</t>
        </is>
      </c>
      <c r="C16" s="6" t="n">
        <v>600</v>
      </c>
      <c r="D16" t="inlineStr">
        <is>
          <t>Admin / TPA Fee</t>
        </is>
      </c>
      <c r="E16" t="inlineStr">
        <is>
          <t>BEST ONE Dec Costs</t>
        </is>
      </c>
    </row>
    <row r="17">
      <c r="A17" t="inlineStr">
        <is>
          <t>Dec 2025</t>
        </is>
      </c>
      <c r="B17" t="inlineStr">
        <is>
          <t>Insurance</t>
        </is>
      </c>
      <c r="C17" s="6" t="n">
        <v>18000</v>
      </c>
      <c r="D17" t="inlineStr">
        <is>
          <t>Insurance</t>
        </is>
      </c>
      <c r="E17" t="inlineStr">
        <is>
          <t>BEST ONE Dec Costs</t>
        </is>
      </c>
    </row>
    <row r="18">
      <c r="A18" t="inlineStr">
        <is>
          <t>Dec 2025</t>
        </is>
      </c>
      <c r="B18" t="inlineStr">
        <is>
          <t>TPA (second line)</t>
        </is>
      </c>
      <c r="C18" s="6" t="n">
        <v>4500</v>
      </c>
      <c r="D18" t="inlineStr">
        <is>
          <t>Admin / TPA Fee</t>
        </is>
      </c>
      <c r="E18" t="inlineStr">
        <is>
          <t>BEST ONE Dec Costs</t>
        </is>
      </c>
    </row>
    <row r="19">
      <c r="A19" s="17" t="inlineStr">
        <is>
          <t>Dec 2025 subtotal</t>
        </is>
      </c>
      <c r="B19" s="17" t="n"/>
      <c r="C19" s="18" t="n">
        <v>27100</v>
      </c>
      <c r="D19" s="17" t="n"/>
      <c r="E19" s="17" t="n"/>
    </row>
    <row r="20"/>
    <row r="21">
      <c r="A21" s="11" t="inlineStr">
        <is>
          <t>2025 TOTAL GP-PAID OPERATING EXPENSES</t>
        </is>
      </c>
      <c r="B21" s="11" t="n"/>
      <c r="C21" s="12" t="n">
        <v>55225</v>
      </c>
      <c r="D21" s="11" t="n"/>
      <c r="E21" s="11" t="n"/>
    </row>
    <row r="22"/>
    <row r="23">
      <c r="A23" s="13" t="inlineStr">
        <is>
          <t>Verify with user before sending to accountant</t>
        </is>
      </c>
    </row>
    <row r="24">
      <c r="A24" s="20" t="inlineStr">
        <is>
          <t>1. Insurance ($18k Dec): is this annual or already monthly-allocated? If annual D&amp;O policy, fully deductible in 2025 under 12-month prepaid rule (Reg §1.263(a)-4(f)).</t>
        </is>
      </c>
    </row>
    <row r="25">
      <c r="A25" s="20" t="inlineStr">
        <is>
          <t>2. TPA fee duplication: Dec has TWO TPA lines ($600 + $4,500). The $600 also appears as fund-level admin in TPA's books. Confirm only the GP-paid portion goes here.</t>
        </is>
      </c>
    </row>
    <row r="26">
      <c r="A26" s="20" t="inlineStr">
        <is>
          <t>3. 506c SPV Loan ($4,275 Aug only): is this an expense or a loan repayment? If loan, reclassify to Balance Sheet (asset).</t>
        </is>
      </c>
    </row>
    <row r="27">
      <c r="A27" s="20" t="inlineStr">
        <is>
          <t>4. PVD ($6k Aug only): vendor identification needed for 1099 (if individual) or just expense (if entity). Tech/Ads category.</t>
        </is>
      </c>
    </row>
    <row r="28">
      <c r="A28" s="20" t="inlineStr">
        <is>
          <t>5. Consulting ($7.5k Nov) + Chris ($4k Dec): 1099-NEC required if individuals.</t>
        </is>
      </c>
    </row>
  </sheetData>
  <mergeCells count="7">
    <mergeCell ref="A26:E26"/>
    <mergeCell ref="A24:E24"/>
    <mergeCell ref="A2:E2"/>
    <mergeCell ref="A25:E25"/>
    <mergeCell ref="A28:E28"/>
    <mergeCell ref="A1:E1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10" customWidth="1" min="8" max="8"/>
  </cols>
  <sheetData>
    <row r="1">
      <c r="A1" s="1" t="inlineStr">
        <is>
          <t>Per-Recipient ACTUAL Paid Per Month (Distributions Armada Tech 2025 Ledger)</t>
        </is>
      </c>
    </row>
    <row r="2">
      <c r="A2" s="2" t="inlineStr">
        <is>
          <t>Cash-basis amounts the GP actually paid out. Aug uses a different waterfall (9.5% consultant + 13.5% Trader &amp; Developer + 5.5% Mgmt) — TruQuant moved upstream from Sep onwards.</t>
        </is>
      </c>
    </row>
    <row r="3"/>
    <row r="4">
      <c r="A4" s="4" t="inlineStr">
        <is>
          <t>Recipient</t>
        </is>
      </c>
      <c r="B4" s="4" t="inlineStr">
        <is>
          <t>Aug 2025</t>
        </is>
      </c>
      <c r="C4" s="4" t="inlineStr">
        <is>
          <t>Sep 2025</t>
        </is>
      </c>
      <c r="D4" s="4" t="inlineStr">
        <is>
          <t>Oct 2025</t>
        </is>
      </c>
      <c r="E4" s="4" t="inlineStr">
        <is>
          <t>Nov 2025</t>
        </is>
      </c>
      <c r="F4" s="4" t="inlineStr">
        <is>
          <t>Dec 2025</t>
        </is>
      </c>
      <c r="G4" s="4" t="inlineStr">
        <is>
          <t>2025 Total</t>
        </is>
      </c>
    </row>
    <row r="5">
      <c r="A5" t="inlineStr">
        <is>
          <t>Alec Atkinson</t>
        </is>
      </c>
      <c r="B5" s="6" t="n">
        <v>3172.12</v>
      </c>
      <c r="C5" s="6" t="n">
        <v>3561.92</v>
      </c>
      <c r="D5" s="6" t="n">
        <v>11848.88</v>
      </c>
      <c r="E5" s="6" t="n">
        <v>15124.18</v>
      </c>
      <c r="F5" s="6" t="n">
        <v>4369.77</v>
      </c>
      <c r="G5" s="16" t="n">
        <v>38076.87</v>
      </c>
    </row>
    <row r="6">
      <c r="A6" t="inlineStr">
        <is>
          <t>AJ Affleck</t>
        </is>
      </c>
      <c r="B6" s="6" t="n">
        <v>1743.04</v>
      </c>
      <c r="C6" s="6" t="n">
        <v>6068.58</v>
      </c>
      <c r="D6" s="6" t="n">
        <v>7500.6</v>
      </c>
      <c r="E6" s="6" t="n">
        <v>16567.16</v>
      </c>
      <c r="F6" s="6" t="n">
        <v>5260.51</v>
      </c>
      <c r="G6" s="16" t="n">
        <v>37139.89</v>
      </c>
    </row>
    <row r="7">
      <c r="A7" s="21" t="inlineStr">
        <is>
          <t>Nairne (K-1 partner)</t>
        </is>
      </c>
      <c r="B7" s="22" t="n">
        <v>1663.5</v>
      </c>
      <c r="C7" s="22" t="n">
        <v>5845.12</v>
      </c>
      <c r="D7" s="22" t="n">
        <v>6244.65</v>
      </c>
      <c r="E7" s="22" t="n">
        <v>15531.01</v>
      </c>
      <c r="F7" s="22" t="n">
        <v>4904.6</v>
      </c>
      <c r="G7" s="23" t="n">
        <v>34188.88</v>
      </c>
    </row>
    <row r="8">
      <c r="A8" t="inlineStr">
        <is>
          <t>Jake Gordon</t>
        </is>
      </c>
      <c r="B8" s="6" t="n">
        <v>1266.18</v>
      </c>
      <c r="C8" s="6" t="n">
        <v>930.9</v>
      </c>
      <c r="D8" s="6" t="n">
        <v>3218.29</v>
      </c>
      <c r="E8" s="6" t="n">
        <v>4184.51</v>
      </c>
      <c r="F8" s="6" t="n">
        <v>788.78</v>
      </c>
      <c r="G8" s="16" t="n">
        <v>10388.66</v>
      </c>
    </row>
    <row r="9">
      <c r="A9" s="21" t="inlineStr">
        <is>
          <t>Raj (K-1 partner)</t>
        </is>
      </c>
      <c r="B9" s="22" t="n">
        <v>255.92</v>
      </c>
      <c r="C9" s="22" t="n">
        <v>62.32</v>
      </c>
      <c r="D9" s="22" t="n">
        <v>262.24</v>
      </c>
      <c r="E9" s="22" t="n">
        <v>287.26</v>
      </c>
      <c r="F9" s="22" t="n">
        <v>79.23</v>
      </c>
      <c r="G9" s="23" t="n">
        <v>946.97</v>
      </c>
    </row>
    <row r="10">
      <c r="A10" s="21" t="inlineStr">
        <is>
          <t>Phil (K-1 partner)</t>
        </is>
      </c>
      <c r="B10" s="22" t="n">
        <v>255.92</v>
      </c>
      <c r="C10" s="22" t="n">
        <v>62.32</v>
      </c>
      <c r="D10" s="22" t="n">
        <v>262.24</v>
      </c>
      <c r="E10" s="22" t="n">
        <v>287.26</v>
      </c>
      <c r="F10" s="22" t="n">
        <v>79.23</v>
      </c>
      <c r="G10" s="23" t="n">
        <v>946.97</v>
      </c>
    </row>
    <row r="11">
      <c r="A11" t="inlineStr">
        <is>
          <t>Issac</t>
        </is>
      </c>
      <c r="B11" s="6" t="n">
        <v>0</v>
      </c>
      <c r="C11" s="6" t="n">
        <v>0</v>
      </c>
      <c r="D11" s="6" t="n">
        <v>254.12</v>
      </c>
      <c r="E11" s="6" t="n">
        <v>785.85</v>
      </c>
      <c r="F11" s="6" t="n">
        <v>-278.48</v>
      </c>
      <c r="G11" s="16" t="n">
        <v>761.49</v>
      </c>
    </row>
    <row r="12">
      <c r="A12" t="inlineStr">
        <is>
          <t>Nikki</t>
        </is>
      </c>
      <c r="B12" s="6" t="n">
        <v>0</v>
      </c>
      <c r="C12" s="6" t="n">
        <v>0</v>
      </c>
      <c r="D12" s="6" t="n">
        <v>0</v>
      </c>
      <c r="E12" s="6" t="n">
        <v>223</v>
      </c>
      <c r="F12" s="6" t="n">
        <v>0</v>
      </c>
      <c r="G12" s="16" t="n">
        <v>223</v>
      </c>
    </row>
    <row r="13">
      <c r="A13" t="inlineStr">
        <is>
          <t>Luke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164.9</v>
      </c>
      <c r="G13" s="16" t="n">
        <v>164.9</v>
      </c>
    </row>
    <row r="14">
      <c r="A14" s="21" t="inlineStr">
        <is>
          <t>Fund Mgmt 59.5% (= Nairne K-1)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3" t="n">
        <v>0</v>
      </c>
    </row>
    <row r="15">
      <c r="A15" s="11" t="inlineStr">
        <is>
          <t>MONTH TOTAL (cash actually paid out)</t>
        </is>
      </c>
      <c r="B15" s="12" t="n">
        <v>8356.68</v>
      </c>
      <c r="C15" s="12" t="n">
        <v>16531.16</v>
      </c>
      <c r="D15" s="12" t="n">
        <v>29591.02</v>
      </c>
      <c r="E15" s="12" t="n">
        <v>52990.23</v>
      </c>
      <c r="F15" s="12" t="n">
        <v>15368.54</v>
      </c>
      <c r="G15" s="12" t="n">
        <v>122837.63</v>
      </c>
    </row>
    <row r="16">
      <c r="A16" s="10" t="inlineStr">
        <is>
          <t>TPA Perf Fees Crystallized (what was OWED)</t>
        </is>
      </c>
      <c r="B16" s="24" t="n">
        <v>15355.51</v>
      </c>
      <c r="C16" s="24" t="n">
        <v>12474.75</v>
      </c>
      <c r="D16" s="24" t="n">
        <v>51906.99</v>
      </c>
      <c r="E16" s="24" t="n">
        <v>57074.08999999997</v>
      </c>
      <c r="F16" s="24" t="n">
        <v>16211.69</v>
      </c>
      <c r="G16" s="24" t="n">
        <v>153023.03</v>
      </c>
    </row>
    <row r="17">
      <c r="A17" t="inlineStr">
        <is>
          <t>DELTA (Owed - Paid; positive = unpaid liability)</t>
        </is>
      </c>
      <c r="B17" s="25" t="n">
        <v>6998.830000000002</v>
      </c>
      <c r="C17" s="25" t="n">
        <v>-4056.409999999998</v>
      </c>
      <c r="D17" s="25" t="n">
        <v>22315.97</v>
      </c>
      <c r="E17" s="25" t="n">
        <v>4083.859999999964</v>
      </c>
      <c r="F17" s="25" t="n">
        <v>843.1500000000015</v>
      </c>
      <c r="G17" s="25" t="n">
        <v>30185.39999999997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60" customWidth="1" min="9" max="9"/>
  </cols>
  <sheetData>
    <row r="1">
      <c r="A1" s="1" t="inlineStr">
        <is>
          <t>Operating Expenses by Vendor &amp; Month (Aug-Dec 2025)</t>
        </is>
      </c>
    </row>
    <row r="2">
      <c r="A2" s="2" t="inlineStr">
        <is>
          <t>Each vendor on its own row. Source: Costs sections of Distributions ledger (Aug-Nov) + BEST ONE Dec Costs.</t>
        </is>
      </c>
    </row>
    <row r="3"/>
    <row r="4">
      <c r="A4" s="4" t="inlineStr">
        <is>
          <t>Vendor / Line Item</t>
        </is>
      </c>
      <c r="B4" s="4" t="inlineStr">
        <is>
          <t>Category</t>
        </is>
      </c>
      <c r="C4" s="4" t="inlineStr">
        <is>
          <t>Aug 2025</t>
        </is>
      </c>
      <c r="D4" s="4" t="inlineStr">
        <is>
          <t>Sep 2025</t>
        </is>
      </c>
      <c r="E4" s="4" t="inlineStr">
        <is>
          <t>Oct 2025</t>
        </is>
      </c>
      <c r="F4" s="4" t="inlineStr">
        <is>
          <t>Nov 2025</t>
        </is>
      </c>
      <c r="G4" s="4" t="inlineStr">
        <is>
          <t>Dec 2025</t>
        </is>
      </c>
      <c r="H4" s="4" t="inlineStr">
        <is>
          <t>2025 Total</t>
        </is>
      </c>
      <c r="I4" s="4" t="inlineStr">
        <is>
          <t>Notes</t>
        </is>
      </c>
    </row>
    <row r="5">
      <c r="A5" t="inlineStr">
        <is>
          <t>Insurance</t>
        </is>
      </c>
      <c r="B5" t="inlineStr">
        <is>
          <t>Insurance</t>
        </is>
      </c>
      <c r="G5" s="6" t="n">
        <v>18000</v>
      </c>
      <c r="H5" s="16" t="n">
        <v>18000</v>
      </c>
      <c r="I5" s="20" t="inlineStr">
        <is>
          <t>RECLASS: likely annual D&amp;O — pro-rate to ~$7,500 for Aug-Dec</t>
        </is>
      </c>
    </row>
    <row r="6">
      <c r="A6" t="inlineStr">
        <is>
          <t>Consulting</t>
        </is>
      </c>
      <c r="B6" t="inlineStr">
        <is>
          <t>Consulting</t>
        </is>
      </c>
      <c r="F6" s="6" t="n">
        <v>7500</v>
      </c>
      <c r="H6" s="16" t="n">
        <v>7500</v>
      </c>
      <c r="I6" s="20" t="inlineStr"/>
    </row>
    <row r="7">
      <c r="A7" t="inlineStr">
        <is>
          <t>Website</t>
        </is>
      </c>
      <c r="B7" t="inlineStr">
        <is>
          <t>Marketing/Web</t>
        </is>
      </c>
      <c r="E7" s="6" t="n">
        <v>7500</v>
      </c>
      <c r="H7" s="16" t="n">
        <v>7500</v>
      </c>
      <c r="I7" s="20" t="inlineStr">
        <is>
          <t>Marketing/web build</t>
        </is>
      </c>
    </row>
    <row r="8">
      <c r="A8" t="inlineStr">
        <is>
          <t>PVD</t>
        </is>
      </c>
      <c r="B8" t="inlineStr">
        <is>
          <t>Tech/Ads</t>
        </is>
      </c>
      <c r="C8" s="6" t="n">
        <v>6000</v>
      </c>
      <c r="H8" s="16" t="n">
        <v>6000</v>
      </c>
      <c r="I8" s="20" t="inlineStr">
        <is>
          <t>Vendor identification needed for 1099 obligation</t>
        </is>
      </c>
    </row>
    <row r="9">
      <c r="A9" t="inlineStr">
        <is>
          <t>TPA (second line)</t>
        </is>
      </c>
      <c r="B9" t="inlineStr">
        <is>
          <t>Admin / TPA Fee</t>
        </is>
      </c>
      <c r="G9" s="6" t="n">
        <v>4500</v>
      </c>
      <c r="H9" s="16" t="n">
        <v>4500</v>
      </c>
      <c r="I9" s="20" t="inlineStr">
        <is>
          <t>VERIFY: second TPA line in Dec — separate billing or duplicate?</t>
        </is>
      </c>
    </row>
    <row r="10">
      <c r="A10" t="inlineStr">
        <is>
          <t>506c SPV Loan</t>
        </is>
      </c>
      <c r="B10" t="inlineStr">
        <is>
          <t>Loan/SPV</t>
        </is>
      </c>
      <c r="C10" s="6" t="n">
        <v>4275</v>
      </c>
      <c r="H10" s="16" t="n">
        <v>4275</v>
      </c>
      <c r="I10" s="20" t="inlineStr">
        <is>
          <t>RECLASS: likely balance sheet item (loan/capital), not P&amp;L expense</t>
        </is>
      </c>
    </row>
    <row r="11">
      <c r="A11" t="inlineStr">
        <is>
          <t>Chris</t>
        </is>
      </c>
      <c r="B11" t="inlineStr">
        <is>
          <t>Payroll/Contractor</t>
        </is>
      </c>
      <c r="G11" s="6" t="n">
        <v>4000</v>
      </c>
      <c r="H11" s="16" t="n">
        <v>4000</v>
      </c>
      <c r="I11" s="20" t="inlineStr">
        <is>
          <t>Payroll/contractor — likely 1099 (already on consultant 1099 list?)</t>
        </is>
      </c>
    </row>
    <row r="12">
      <c r="A12" t="inlineStr">
        <is>
          <t>Alpha Verification</t>
        </is>
      </c>
      <c r="B12" t="inlineStr">
        <is>
          <t>Verification/Compliance</t>
        </is>
      </c>
      <c r="F12" s="6" t="n">
        <v>2250</v>
      </c>
      <c r="H12" s="16" t="n">
        <v>2250</v>
      </c>
      <c r="I12" s="20" t="inlineStr">
        <is>
          <t>Compliance/verification service</t>
        </is>
      </c>
    </row>
    <row r="13">
      <c r="A13" t="inlineStr">
        <is>
          <t>Formidium (TPA)</t>
        </is>
      </c>
      <c r="B13" t="inlineStr">
        <is>
          <t>Admin / TPA Fee</t>
        </is>
      </c>
      <c r="F13" s="6" t="n">
        <v>600</v>
      </c>
      <c r="H13" s="16" t="n">
        <v>600</v>
      </c>
      <c r="I13" s="20" t="inlineStr">
        <is>
          <t>VERIFY: same as 'TPA (Formidium)' — TPA fee. Confirm GP-paid vs fund-paid.</t>
        </is>
      </c>
    </row>
    <row r="14">
      <c r="A14" t="inlineStr">
        <is>
          <t>TPA (Formidium)</t>
        </is>
      </c>
      <c r="B14" t="inlineStr">
        <is>
          <t>Admin / TPA Fee</t>
        </is>
      </c>
      <c r="G14" s="6" t="n">
        <v>600</v>
      </c>
      <c r="H14" s="16" t="n">
        <v>600</v>
      </c>
      <c r="I14" s="20" t="inlineStr">
        <is>
          <t>VERIFY: $600/mo also in fund-level admin (TPA books). May double-count.</t>
        </is>
      </c>
    </row>
    <row r="15">
      <c r="A15" s="11" t="inlineStr">
        <is>
          <t>MONTHLY TOTAL</t>
        </is>
      </c>
      <c r="B15" s="11" t="n"/>
      <c r="C15" s="12" t="n">
        <v>10275</v>
      </c>
      <c r="D15" s="12" t="n">
        <v>0</v>
      </c>
      <c r="E15" s="12" t="n">
        <v>7500</v>
      </c>
      <c r="F15" s="12" t="n">
        <v>10350</v>
      </c>
      <c r="G15" s="12" t="n">
        <v>27100</v>
      </c>
      <c r="H15" s="12" t="n">
        <v>55225</v>
      </c>
      <c r="I15" s="11" t="n"/>
    </row>
    <row r="16"/>
    <row r="17">
      <c r="A17" s="26" t="inlineStr">
        <is>
          <t>Likely-adjusted (after accountant reclass)</t>
        </is>
      </c>
    </row>
    <row r="18">
      <c r="A18" t="inlineStr">
        <is>
          <t xml:space="preserve">  Less: 506c SPV Loans (balance sheet)</t>
        </is>
      </c>
      <c r="H18" s="6" t="n">
        <v>-29275</v>
      </c>
    </row>
    <row r="19">
      <c r="A19" t="inlineStr">
        <is>
          <t xml:space="preserve">  Less: Insurance proration ($18k → $7,500 for 5 mo)</t>
        </is>
      </c>
      <c r="H19" s="6" t="n">
        <v>-10500</v>
      </c>
    </row>
    <row r="20">
      <c r="A20" s="27" t="inlineStr">
        <is>
          <t>ADJUSTED 2025 OP EXPENSES</t>
        </is>
      </c>
      <c r="B20" s="27" t="n"/>
      <c r="C20" s="27" t="n"/>
      <c r="D20" s="27" t="n"/>
      <c r="E20" s="27" t="n"/>
      <c r="F20" s="27" t="n"/>
      <c r="G20" s="27" t="n"/>
      <c r="H20" s="28" t="n">
        <v>15450</v>
      </c>
      <c r="I20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Per-Person Cash Distributions by Month, with Running YTD</t>
        </is>
      </c>
    </row>
    <row r="2">
      <c r="A2" s="2" t="inlineStr">
        <is>
          <t>Each person: top row = monthly amount paid; bottom row = running YTD total. K-1 partners (Nairne, Raj) shaded blue. Per Nairne 2026-04-30: payouts shown ARE net (after costs + weighted costs). TruQuant excluded.</t>
        </is>
      </c>
    </row>
    <row r="3"/>
    <row r="4">
      <c r="A4" s="4" t="inlineStr">
        <is>
          <t>Person / Recipient</t>
        </is>
      </c>
      <c r="B4" s="4" t="inlineStr">
        <is>
          <t>Tax Type</t>
        </is>
      </c>
      <c r="C4" s="4" t="inlineStr">
        <is>
          <t>Aug 2025</t>
        </is>
      </c>
      <c r="D4" s="4" t="inlineStr">
        <is>
          <t>YTD</t>
        </is>
      </c>
      <c r="E4" s="4" t="inlineStr">
        <is>
          <t>Sep 2025</t>
        </is>
      </c>
      <c r="F4" s="4" t="inlineStr">
        <is>
          <t>YTD</t>
        </is>
      </c>
      <c r="G4" s="4" t="inlineStr">
        <is>
          <t>Oct 2025</t>
        </is>
      </c>
      <c r="H4" s="4" t="inlineStr">
        <is>
          <t>YTD</t>
        </is>
      </c>
      <c r="I4" s="4" t="inlineStr">
        <is>
          <t>Nov 2025</t>
        </is>
      </c>
      <c r="J4" s="4" t="inlineStr">
        <is>
          <t>YTD</t>
        </is>
      </c>
      <c r="K4" s="4" t="inlineStr">
        <is>
          <t>Dec 2025</t>
        </is>
      </c>
      <c r="L4" s="4" t="inlineStr">
        <is>
          <t>YTD</t>
        </is>
      </c>
      <c r="M4" s="4" t="inlineStr">
        <is>
          <t>YE 2025 Total</t>
        </is>
      </c>
    </row>
    <row r="5">
      <c r="A5" s="21" t="inlineStr">
        <is>
          <t>Nairne — Fund Mgmt 59.5% (Aug: 5.5%)</t>
        </is>
      </c>
      <c r="B5" s="21" t="inlineStr">
        <is>
          <t>K-1</t>
        </is>
      </c>
      <c r="C5" s="21" t="n"/>
      <c r="D5" s="29" t="n">
        <v>0</v>
      </c>
      <c r="E5" s="21" t="n"/>
      <c r="F5" s="29" t="n">
        <v>0</v>
      </c>
      <c r="G5" s="21" t="n"/>
      <c r="H5" s="29" t="n">
        <v>0</v>
      </c>
      <c r="I5" s="21" t="n"/>
      <c r="J5" s="29" t="n">
        <v>0</v>
      </c>
      <c r="K5" s="21" t="n"/>
      <c r="L5" s="29" t="n">
        <v>0</v>
      </c>
      <c r="M5" s="23" t="n">
        <v>0</v>
      </c>
    </row>
    <row r="6">
      <c r="A6" s="21" t="inlineStr">
        <is>
          <t>Nairne — direct 0.5%</t>
        </is>
      </c>
      <c r="B6" s="21" t="inlineStr">
        <is>
          <t>K-1</t>
        </is>
      </c>
      <c r="C6" s="22" t="n">
        <v>1663.5</v>
      </c>
      <c r="D6" s="29" t="n">
        <v>1663.5</v>
      </c>
      <c r="E6" s="22" t="n">
        <v>5845.12</v>
      </c>
      <c r="F6" s="29" t="n">
        <v>7508.62</v>
      </c>
      <c r="G6" s="22" t="n">
        <v>6244.65</v>
      </c>
      <c r="H6" s="29" t="n">
        <v>13753.27</v>
      </c>
      <c r="I6" s="22" t="n">
        <v>15531.01</v>
      </c>
      <c r="J6" s="29" t="n">
        <v>29284.28</v>
      </c>
      <c r="K6" s="22" t="n">
        <v>4904.6</v>
      </c>
      <c r="L6" s="29" t="n">
        <v>34188.88</v>
      </c>
      <c r="M6" s="23" t="n">
        <v>34188.88</v>
      </c>
    </row>
    <row r="7">
      <c r="A7" s="21" t="inlineStr">
        <is>
          <t>Raj Duggal — direct 0.5%</t>
        </is>
      </c>
      <c r="B7" s="21" t="inlineStr">
        <is>
          <t>K-1</t>
        </is>
      </c>
      <c r="C7" s="22" t="n">
        <v>255.92</v>
      </c>
      <c r="D7" s="29" t="n">
        <v>255.92</v>
      </c>
      <c r="E7" s="22" t="n">
        <v>62.32</v>
      </c>
      <c r="F7" s="29" t="n">
        <v>318.24</v>
      </c>
      <c r="G7" s="22" t="n">
        <v>262.24</v>
      </c>
      <c r="H7" s="29" t="n">
        <v>580.48</v>
      </c>
      <c r="I7" s="22" t="n">
        <v>287.26</v>
      </c>
      <c r="J7" s="29" t="n">
        <v>867.74</v>
      </c>
      <c r="K7" s="22" t="n">
        <v>79.23</v>
      </c>
      <c r="L7" s="29" t="n">
        <v>946.97</v>
      </c>
      <c r="M7" s="23" t="n">
        <v>946.97</v>
      </c>
    </row>
    <row r="8">
      <c r="A8" s="21" t="inlineStr">
        <is>
          <t>Phil — direct 0.5%</t>
        </is>
      </c>
      <c r="B8" s="21" t="inlineStr">
        <is>
          <t>K-1</t>
        </is>
      </c>
      <c r="C8" s="22" t="n">
        <v>255.92</v>
      </c>
      <c r="D8" s="29" t="n">
        <v>255.92</v>
      </c>
      <c r="E8" s="22" t="n">
        <v>62.32</v>
      </c>
      <c r="F8" s="29" t="n">
        <v>318.24</v>
      </c>
      <c r="G8" s="22" t="n">
        <v>262.24</v>
      </c>
      <c r="H8" s="29" t="n">
        <v>580.48</v>
      </c>
      <c r="I8" s="22" t="n">
        <v>287.26</v>
      </c>
      <c r="J8" s="29" t="n">
        <v>867.74</v>
      </c>
      <c r="K8" s="22" t="n">
        <v>79.23</v>
      </c>
      <c r="L8" s="29" t="n">
        <v>946.97</v>
      </c>
      <c r="M8" s="23" t="n">
        <v>946.97</v>
      </c>
    </row>
    <row r="9">
      <c r="A9" t="inlineStr">
        <is>
          <t>Alec Atkinson</t>
        </is>
      </c>
      <c r="B9" t="inlineStr">
        <is>
          <t>1099</t>
        </is>
      </c>
      <c r="C9" s="6" t="n">
        <v>3172.12</v>
      </c>
      <c r="D9" s="30" t="n">
        <v>3172.12</v>
      </c>
      <c r="E9" s="6" t="n">
        <v>3561.92</v>
      </c>
      <c r="F9" s="30" t="n">
        <v>6734.04</v>
      </c>
      <c r="G9" s="6" t="n">
        <v>11848.88</v>
      </c>
      <c r="H9" s="30" t="n">
        <v>18582.92</v>
      </c>
      <c r="I9" s="6" t="n">
        <v>15124.18</v>
      </c>
      <c r="J9" s="30" t="n">
        <v>33707.1</v>
      </c>
      <c r="K9" s="6" t="n">
        <v>4369.77</v>
      </c>
      <c r="L9" s="30" t="n">
        <v>38076.87</v>
      </c>
      <c r="M9" s="16" t="n">
        <v>38076.87</v>
      </c>
    </row>
    <row r="10">
      <c r="A10" t="inlineStr">
        <is>
          <t>AJ Affleck</t>
        </is>
      </c>
      <c r="B10" t="inlineStr">
        <is>
          <t>1099</t>
        </is>
      </c>
      <c r="C10" s="6" t="n">
        <v>1743.04</v>
      </c>
      <c r="D10" s="30" t="n">
        <v>1743.04</v>
      </c>
      <c r="E10" s="6" t="n">
        <v>6068.58</v>
      </c>
      <c r="F10" s="30" t="n">
        <v>7811.62</v>
      </c>
      <c r="G10" s="6" t="n">
        <v>7500.6</v>
      </c>
      <c r="H10" s="30" t="n">
        <v>15312.22</v>
      </c>
      <c r="I10" s="6" t="n">
        <v>16567.16</v>
      </c>
      <c r="J10" s="30" t="n">
        <v>31879.38</v>
      </c>
      <c r="K10" s="6" t="n">
        <v>5260.51</v>
      </c>
      <c r="L10" s="30" t="n">
        <v>37139.89</v>
      </c>
      <c r="M10" s="16" t="n">
        <v>37139.89</v>
      </c>
    </row>
    <row r="11">
      <c r="A11" t="inlineStr">
        <is>
          <t>Jake Gordon</t>
        </is>
      </c>
      <c r="B11" t="inlineStr">
        <is>
          <t>1099</t>
        </is>
      </c>
      <c r="C11" s="6" t="n">
        <v>1266.18</v>
      </c>
      <c r="D11" s="30" t="n">
        <v>1266.18</v>
      </c>
      <c r="E11" s="6" t="n">
        <v>930.9</v>
      </c>
      <c r="F11" s="30" t="n">
        <v>2197.08</v>
      </c>
      <c r="G11" s="6" t="n">
        <v>3218.29</v>
      </c>
      <c r="H11" s="30" t="n">
        <v>5415.37</v>
      </c>
      <c r="I11" s="6" t="n">
        <v>4184.51</v>
      </c>
      <c r="J11" s="30" t="n">
        <v>9599.880000000001</v>
      </c>
      <c r="K11" s="6" t="n">
        <v>788.78</v>
      </c>
      <c r="L11" s="30" t="n">
        <v>10388.66</v>
      </c>
      <c r="M11" s="16" t="n">
        <v>10388.66</v>
      </c>
    </row>
    <row r="12">
      <c r="A12" t="inlineStr">
        <is>
          <t>Issac</t>
        </is>
      </c>
      <c r="B12" t="inlineStr">
        <is>
          <t>1099</t>
        </is>
      </c>
      <c r="D12" s="30" t="n">
        <v>0</v>
      </c>
      <c r="F12" s="30" t="n">
        <v>0</v>
      </c>
      <c r="G12" s="6" t="n">
        <v>254.12</v>
      </c>
      <c r="H12" s="30" t="n">
        <v>254.12</v>
      </c>
      <c r="I12" s="6" t="n">
        <v>785.85</v>
      </c>
      <c r="J12" s="30" t="n">
        <v>1039.97</v>
      </c>
      <c r="K12" s="6" t="n">
        <v>-278.48</v>
      </c>
      <c r="L12" s="30" t="n">
        <v>761.49</v>
      </c>
      <c r="M12" s="16" t="n">
        <v>761.49</v>
      </c>
    </row>
    <row r="13">
      <c r="A13" t="inlineStr">
        <is>
          <t>Nikki</t>
        </is>
      </c>
      <c r="B13" t="inlineStr">
        <is>
          <t>1099</t>
        </is>
      </c>
      <c r="D13" s="30" t="n">
        <v>0</v>
      </c>
      <c r="F13" s="30" t="n">
        <v>0</v>
      </c>
      <c r="H13" s="30" t="n">
        <v>0</v>
      </c>
      <c r="I13" s="6" t="n">
        <v>223</v>
      </c>
      <c r="J13" s="30" t="n">
        <v>223</v>
      </c>
      <c r="L13" s="30" t="n">
        <v>223</v>
      </c>
      <c r="M13" s="16" t="n">
        <v>223</v>
      </c>
    </row>
    <row r="14">
      <c r="A14" t="inlineStr">
        <is>
          <t>Luke</t>
        </is>
      </c>
      <c r="B14" t="inlineStr">
        <is>
          <t>1099</t>
        </is>
      </c>
      <c r="D14" s="30" t="n">
        <v>0</v>
      </c>
      <c r="F14" s="30" t="n">
        <v>0</v>
      </c>
      <c r="H14" s="30" t="n">
        <v>0</v>
      </c>
      <c r="J14" s="30" t="n">
        <v>0</v>
      </c>
      <c r="K14" s="6" t="n">
        <v>164.9</v>
      </c>
      <c r="L14" s="30" t="n">
        <v>164.9</v>
      </c>
      <c r="M14" s="16" t="n">
        <v>164.9</v>
      </c>
    </row>
    <row r="15">
      <c r="A15" s="11" t="inlineStr">
        <is>
          <t>K-1 SUBTOTAL (Nairne + Raj + Phil)</t>
        </is>
      </c>
      <c r="B15" s="11" t="inlineStr">
        <is>
          <t>K-1</t>
        </is>
      </c>
      <c r="C15" s="12" t="n">
        <v>2175.34</v>
      </c>
      <c r="D15" s="12" t="n">
        <v>2175.34</v>
      </c>
      <c r="E15" s="12" t="n">
        <v>5969.759999999999</v>
      </c>
      <c r="F15" s="12" t="n">
        <v>8145.099999999999</v>
      </c>
      <c r="G15" s="12" t="n">
        <v>6769.129999999999</v>
      </c>
      <c r="H15" s="12" t="n">
        <v>14914.23</v>
      </c>
      <c r="I15" s="12" t="n">
        <v>16105.53</v>
      </c>
      <c r="J15" s="12" t="n">
        <v>31019.76</v>
      </c>
      <c r="K15" s="12" t="n">
        <v>5063.059999999999</v>
      </c>
      <c r="L15" s="12" t="n">
        <v>36082.82</v>
      </c>
      <c r="M15" s="12" t="n">
        <v>36082.82</v>
      </c>
    </row>
    <row r="16">
      <c r="A16" s="11" t="inlineStr">
        <is>
          <t>1099 SUBTOTAL (consultants only)</t>
        </is>
      </c>
      <c r="B16" s="11" t="inlineStr">
        <is>
          <t>1099</t>
        </is>
      </c>
      <c r="C16" s="12" t="n">
        <v>6181.34</v>
      </c>
      <c r="D16" s="12" t="n">
        <v>6181.34</v>
      </c>
      <c r="E16" s="12" t="n">
        <v>10561.4</v>
      </c>
      <c r="F16" s="12" t="n">
        <v>16742.74</v>
      </c>
      <c r="G16" s="12" t="n">
        <v>22821.89</v>
      </c>
      <c r="H16" s="12" t="n">
        <v>39564.63</v>
      </c>
      <c r="I16" s="12" t="n">
        <v>36884.7</v>
      </c>
      <c r="J16" s="12" t="n">
        <v>76449.32999999999</v>
      </c>
      <c r="K16" s="12" t="n">
        <v>10305.48</v>
      </c>
      <c r="L16" s="12" t="n">
        <v>86754.80999999998</v>
      </c>
      <c r="M16" s="12" t="n">
        <v>86754.80999999998</v>
      </c>
    </row>
    <row r="17">
      <c r="A17" s="31" t="inlineStr">
        <is>
          <t>GRAND TOTAL (K-1 + 1099)</t>
        </is>
      </c>
      <c r="B17" s="31" t="inlineStr"/>
      <c r="C17" s="32" t="n">
        <v>8356.68</v>
      </c>
      <c r="D17" s="32" t="n">
        <v>8356.68</v>
      </c>
      <c r="E17" s="32" t="n">
        <v>16531.16</v>
      </c>
      <c r="F17" s="32" t="n">
        <v>24887.84</v>
      </c>
      <c r="G17" s="32" t="n">
        <v>29591.02</v>
      </c>
      <c r="H17" s="32" t="n">
        <v>54478.86</v>
      </c>
      <c r="I17" s="32" t="n">
        <v>52990.23</v>
      </c>
      <c r="J17" s="32" t="n">
        <v>107469.09</v>
      </c>
      <c r="K17" s="32" t="n">
        <v>15368.54</v>
      </c>
      <c r="L17" s="32" t="n">
        <v>122837.63</v>
      </c>
      <c r="M17" s="32" t="n">
        <v>122837.63</v>
      </c>
    </row>
    <row r="18">
      <c r="A18" s="10" t="inlineStr">
        <is>
          <t>TPA Perf Fees Crystallized (Gross GP Income)</t>
        </is>
      </c>
      <c r="B18" s="10" t="n"/>
      <c r="C18" s="24" t="n">
        <v>15355.51</v>
      </c>
      <c r="D18" s="10" t="n"/>
      <c r="E18" s="24" t="n">
        <v>12474.75</v>
      </c>
      <c r="F18" s="10" t="n"/>
      <c r="G18" s="24" t="n">
        <v>51906.99</v>
      </c>
      <c r="H18" s="10" t="n"/>
      <c r="I18" s="24" t="n">
        <v>57074.08999999997</v>
      </c>
      <c r="J18" s="10" t="n"/>
      <c r="K18" s="24" t="n">
        <v>16211.69</v>
      </c>
      <c r="L18" s="10" t="n"/>
      <c r="M18" s="24" t="n">
        <v>153023.03</v>
      </c>
    </row>
    <row r="19">
      <c r="A19" s="10" t="inlineStr">
        <is>
          <t>Op Expenses (paid from GP retained)</t>
        </is>
      </c>
      <c r="B19" s="10" t="n"/>
      <c r="C19" s="24" t="n">
        <v>10275</v>
      </c>
      <c r="D19" s="10" t="n"/>
      <c r="E19" s="10" t="n"/>
      <c r="F19" s="10" t="n"/>
      <c r="G19" s="24" t="n">
        <v>7500</v>
      </c>
      <c r="H19" s="10" t="n"/>
      <c r="I19" s="24" t="n">
        <v>10350</v>
      </c>
      <c r="J19" s="10" t="n"/>
      <c r="K19" s="24" t="n">
        <v>27100</v>
      </c>
      <c r="L19" s="10" t="n"/>
      <c r="M19" s="24" t="n">
        <v>55225</v>
      </c>
    </row>
    <row r="20"/>
    <row r="21">
      <c r="A21" s="13" t="inlineStr">
        <is>
          <t>NOTES</t>
        </is>
      </c>
    </row>
    <row r="22" ht="35" customHeight="1">
      <c r="A22" s="14" t="inlineStr">
        <is>
          <t>Payouts shown are NET — already after weighted costs (per Nairne 2026-04-30). The Distributions ledger's separate 'Gross vs Net' table tracks cumulative settlement balances (carries forward unpaid amounts) and a layer of Coinbase/wire/Crypto fees (~2.8%) plus per-person 'Expense' allocations (Nairne Expense, Alec Expense, etc.) — those are nested inside the Net amounts you see here.</t>
        </is>
      </c>
    </row>
    <row r="23" ht="35" customHeight="1">
      <c r="A23" s="14" t="inlineStr">
        <is>
          <t>TruQuant payments are excluded entirely (per Nairne 2026-04-30). The Aug TruQuant amounts ($6,909.93 Trader &amp; Developer + $88.78 Spydr) and Sep Spydr $82.08 are NOT in any of the rows above.</t>
        </is>
      </c>
    </row>
    <row r="24" ht="35" customHeight="1">
      <c r="A24" s="14" t="inlineStr">
        <is>
          <t>Aug 2025 used a different waterfall (Fund Mgmt was 5.5% not 59.5%). From Sep onwards: standard 59.5% Mgmt + 39% Consultant + 0.5%×3 principals.</t>
        </is>
      </c>
    </row>
    <row r="25" ht="35" customHeight="1">
      <c r="A25" s="14" t="inlineStr">
        <is>
          <t>Issac shows -$278.48 in Dec — clawback against prior month overpayment.</t>
        </is>
      </c>
    </row>
    <row r="26" ht="35" customHeight="1">
      <c r="A26" s="14" t="inlineStr">
        <is>
          <t>Op Expenses row at the bottom is the GP-paid vendor expenses (not allocated to individuals on this tab — see Monthly Op Expenses tab for vendor breakdown).</t>
        </is>
      </c>
    </row>
  </sheetData>
  <mergeCells count="7">
    <mergeCell ref="A1:M1"/>
    <mergeCell ref="A23:M23"/>
    <mergeCell ref="A22:M22"/>
    <mergeCell ref="A26:M26"/>
    <mergeCell ref="A25:M25"/>
    <mergeCell ref="A24:M24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Aug 2025 — GP P&amp;L Detail (Armada Prime Tech LLC)</t>
        </is>
      </c>
    </row>
    <row r="2">
      <c r="A2" s="3" t="inlineStr">
        <is>
          <t>AUGUST SPECIAL WATERFALL: 9.5% Consultant + 13.5% Trader &amp; Developer (TQ-excluded) + 5.5% Mgmt + 0.5%×3 principals = 30% of true gross. TruQuant moved upstream from Sep onwards.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51360.02</v>
      </c>
    </row>
    <row r="6">
      <c r="A6" t="inlineStr">
        <is>
          <t xml:space="preserve">  GP Cut: Performance Fees Crystallized (TPA — 30% of fund net)</t>
        </is>
      </c>
      <c r="B6" s="16" t="n">
        <v>15355.51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5.5% slice</t>
        </is>
      </c>
      <c r="B10" s="21" t="inlineStr">
        <is>
          <t>K-1</t>
        </is>
      </c>
      <c r="C10" s="22" t="n">
        <v>2815.16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255.92</v>
      </c>
      <c r="D11" s="22" t="n">
        <v>1663.5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255.92</v>
      </c>
      <c r="D12" s="22" t="n">
        <v>255.92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255.92</v>
      </c>
      <c r="D13" s="22" t="n">
        <v>255.92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3582.92</v>
      </c>
      <c r="D14" s="8" t="n">
        <v>2175.34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Alec Atkinson</t>
        </is>
      </c>
      <c r="B18" t="inlineStr">
        <is>
          <t>1099</t>
        </is>
      </c>
      <c r="C18" s="6" t="n">
        <v>3172.12</v>
      </c>
      <c r="D18" s="6" t="n">
        <v>3172.12</v>
      </c>
      <c r="E18" t="inlineStr">
        <is>
          <t>9.5% × his investors' gross profit</t>
        </is>
      </c>
    </row>
    <row r="19">
      <c r="A19" t="inlineStr">
        <is>
          <t>AJ Affleck</t>
        </is>
      </c>
      <c r="B19" t="inlineStr">
        <is>
          <t>1099</t>
        </is>
      </c>
      <c r="C19" s="6" t="n">
        <v>335.47</v>
      </c>
      <c r="D19" s="6" t="n">
        <v>1743.04</v>
      </c>
      <c r="E19" t="inlineStr">
        <is>
          <t>9.5% × her investors' gross profit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1266.18</v>
      </c>
      <c r="D20" s="6" t="n">
        <v>1266.18</v>
      </c>
      <c r="E20" t="inlineStr">
        <is>
          <t>9.5% × his investors' gross profit</t>
        </is>
      </c>
    </row>
    <row r="21">
      <c r="A21" s="7" t="inlineStr">
        <is>
          <t>1099 Subtotal</t>
        </is>
      </c>
      <c r="B21" s="7" t="n"/>
      <c r="C21" s="8" t="n">
        <v>4773.77</v>
      </c>
      <c r="D21" s="8" t="n">
        <v>6181.34</v>
      </c>
      <c r="E21" s="7" t="n"/>
    </row>
    <row r="23">
      <c r="A23" s="5" t="inlineStr">
        <is>
          <t>TOTAL CASH PAID TO PEOPLE (K-1 + 1099)</t>
        </is>
      </c>
      <c r="D23" s="16" t="n">
        <v>8356.68</v>
      </c>
    </row>
    <row r="25">
      <c r="A25" s="33" t="inlineStr">
        <is>
          <t>OPERATING EXPENSES (paid by GP entity to vendors)</t>
        </is>
      </c>
    </row>
    <row r="26">
      <c r="A26" s="4" t="inlineStr">
        <is>
          <t>Vendor</t>
        </is>
      </c>
      <c r="B26" s="4" t="inlineStr">
        <is>
          <t>Category</t>
        </is>
      </c>
      <c r="C26" s="4" t="inlineStr">
        <is>
          <t>Amount</t>
        </is>
      </c>
      <c r="D26" s="4" t="inlineStr"/>
      <c r="E26" s="4" t="inlineStr">
        <is>
          <t>Notes</t>
        </is>
      </c>
    </row>
    <row r="27">
      <c r="A27" t="inlineStr">
        <is>
          <t>506c SPV Loan</t>
        </is>
      </c>
      <c r="B27" t="inlineStr">
        <is>
          <t>Loan/SPV</t>
        </is>
      </c>
      <c r="C27" s="6" t="n">
        <v>4275</v>
      </c>
      <c r="E27" t="inlineStr">
        <is>
          <t>RECLASS: likely balance sheet, not P&amp;L</t>
        </is>
      </c>
    </row>
    <row r="28">
      <c r="A28" t="inlineStr">
        <is>
          <t>PVD</t>
        </is>
      </c>
      <c r="B28" t="inlineStr">
        <is>
          <t>Tech/Ads</t>
        </is>
      </c>
      <c r="C28" s="6" t="n">
        <v>6000</v>
      </c>
      <c r="E28" t="inlineStr"/>
    </row>
    <row r="29">
      <c r="A29" s="7" t="inlineStr">
        <is>
          <t>Op Expenses Subtotal</t>
        </is>
      </c>
      <c r="B29" s="7" t="n"/>
      <c r="C29" s="8" t="n">
        <v>10275</v>
      </c>
      <c r="D29" s="7" t="n"/>
      <c r="E29" s="7" t="n"/>
    </row>
    <row r="31">
      <c r="A31" s="33" t="inlineStr">
        <is>
          <t>RECONCILIATION</t>
        </is>
      </c>
    </row>
    <row r="32">
      <c r="A32" t="inlineStr">
        <is>
          <t>Capital In (TPA Perf Fees Crystallized)</t>
        </is>
      </c>
      <c r="D32" s="6" t="n">
        <v>15355.51</v>
      </c>
    </row>
    <row r="33">
      <c r="A33" t="inlineStr">
        <is>
          <t>Less: Cash to people (K-1 + 1099)</t>
        </is>
      </c>
      <c r="D33" s="6" t="n">
        <v>-8356.68</v>
      </c>
    </row>
    <row r="34">
      <c r="A34" t="inlineStr">
        <is>
          <t>Less: Op expenses to vendors</t>
        </is>
      </c>
      <c r="D34" s="6" t="n">
        <v>-10275</v>
      </c>
    </row>
    <row r="35">
      <c r="A35" s="7">
        <f> Residual / (Deficit) for the month</f>
        <v/>
      </c>
      <c r="B35" s="34" t="n"/>
      <c r="C35" s="34" t="n"/>
      <c r="D35" s="35" t="n">
        <v>-3276.169999999998</v>
      </c>
      <c r="E35" s="34" t="n"/>
    </row>
    <row r="37">
      <c r="A37" s="13" t="inlineStr">
        <is>
          <t>AUG NOTES:</t>
        </is>
      </c>
    </row>
    <row r="38" ht="30" customHeight="1">
      <c r="A38" s="14" t="inlineStr">
        <is>
          <t>TruQuant payments excluded: $6,909.93 'Trader &amp; Developer' (13.5%) + $88.78 Spydr — total $6,998.71. These are upstream of the GP entity per Nairne 2026-04-30.</t>
        </is>
      </c>
    </row>
    <row r="39" ht="30" customHeight="1">
      <c r="A39" s="14" t="inlineStr">
        <is>
          <t>If you ADD BACK the $6,998.71 TQ-excluded amounts, total cash flow ties to the full $15,355.51 GP cut: $8,356.69 (people) + $6,998.71 (TQ) = $15,355.40.</t>
        </is>
      </c>
    </row>
    <row r="40" ht="30" customHeight="1">
      <c r="A40" s="14" t="inlineStr">
        <is>
          <t>Op expenses ($10,275 SPV+PVD) are funded out of GP retained earnings, NOT from people's slices.</t>
        </is>
      </c>
    </row>
  </sheetData>
  <mergeCells count="5">
    <mergeCell ref="A39:E39"/>
    <mergeCell ref="A38:E38"/>
    <mergeCell ref="A2:E2"/>
    <mergeCell ref="A1:E1"/>
    <mergeCell ref="A40:E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Sep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74798.7</v>
      </c>
    </row>
    <row r="6">
      <c r="A6" t="inlineStr">
        <is>
          <t xml:space="preserve">  GP Cut: Performance Fees Crystallized (TPA — 30% of fund net)</t>
        </is>
      </c>
      <c r="B6" s="16" t="n">
        <v>12474.75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7415.62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62.32</v>
      </c>
      <c r="D11" s="22" t="n">
        <v>5845.12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62.32</v>
      </c>
      <c r="D12" s="22" t="n">
        <v>62.32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62.32</v>
      </c>
      <c r="D13" s="22" t="n">
        <v>62.32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7602.579999999999</v>
      </c>
      <c r="D14" s="8" t="n">
        <v>5969.759999999999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285.77</v>
      </c>
      <c r="D18" s="6" t="n">
        <v>6068.58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3561.92</v>
      </c>
      <c r="D19" s="6" t="n">
        <v>3561.92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930.9</v>
      </c>
      <c r="D20" s="6" t="n">
        <v>930.9</v>
      </c>
      <c r="E20" t="inlineStr">
        <is>
          <t>39% × his investors' perf fees</t>
        </is>
      </c>
    </row>
    <row r="21">
      <c r="A21" s="7" t="inlineStr">
        <is>
          <t>1099 Subtotal</t>
        </is>
      </c>
      <c r="B21" s="7" t="n"/>
      <c r="C21" s="8" t="n">
        <v>4778.59</v>
      </c>
      <c r="D21" s="8" t="n">
        <v>10561.4</v>
      </c>
      <c r="E21" s="7" t="n"/>
    </row>
    <row r="23">
      <c r="A23" s="5" t="inlineStr">
        <is>
          <t>TOTAL CASH PAID TO PEOPLE (K-1 + 1099)</t>
        </is>
      </c>
      <c r="D23" s="16" t="n">
        <v>16531.16</v>
      </c>
    </row>
    <row r="25">
      <c r="A25" s="33" t="inlineStr">
        <is>
          <t>OPERATING EXPENSES (paid by GP entity to vendors)</t>
        </is>
      </c>
    </row>
    <row r="26">
      <c r="A26" s="4" t="inlineStr">
        <is>
          <t>Vendor</t>
        </is>
      </c>
      <c r="B26" s="4" t="inlineStr">
        <is>
          <t>Category</t>
        </is>
      </c>
      <c r="C26" s="4" t="inlineStr">
        <is>
          <t>Amount</t>
        </is>
      </c>
      <c r="D26" s="4" t="inlineStr"/>
      <c r="E26" s="4" t="inlineStr">
        <is>
          <t>Notes</t>
        </is>
      </c>
    </row>
    <row r="27">
      <c r="A27" s="19" t="inlineStr">
        <is>
          <t>(no GP-paid op expenses recorded for this month)</t>
        </is>
      </c>
    </row>
    <row r="28">
      <c r="A28" s="7" t="inlineStr">
        <is>
          <t>Op Expenses Subtotal</t>
        </is>
      </c>
      <c r="B28" s="7" t="n"/>
      <c r="C28" s="8" t="n">
        <v>0</v>
      </c>
      <c r="D28" s="7" t="n"/>
      <c r="E28" s="7" t="n"/>
    </row>
    <row r="30">
      <c r="A30" s="33" t="inlineStr">
        <is>
          <t>RECONCILIATION</t>
        </is>
      </c>
    </row>
    <row r="31">
      <c r="A31" t="inlineStr">
        <is>
          <t>Capital In (TPA Perf Fees Crystallized)</t>
        </is>
      </c>
      <c r="D31" s="6" t="n">
        <v>12474.75</v>
      </c>
    </row>
    <row r="32">
      <c r="A32" t="inlineStr">
        <is>
          <t>Less: Cash to people (K-1 + 1099)</t>
        </is>
      </c>
      <c r="D32" s="6" t="n">
        <v>-16531.16</v>
      </c>
    </row>
    <row r="33">
      <c r="A33" t="inlineStr">
        <is>
          <t>Less: Op expenses to vendors</t>
        </is>
      </c>
      <c r="D33" s="6" t="n">
        <v>0</v>
      </c>
    </row>
    <row r="34">
      <c r="A34" s="7">
        <f> Residual / (Deficit) for the month</f>
        <v/>
      </c>
      <c r="B34" s="34" t="n"/>
      <c r="C34" s="34" t="n"/>
      <c r="D34" s="35" t="n">
        <v>-4056.409999999998</v>
      </c>
      <c r="E34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Oct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173713.66</v>
      </c>
    </row>
    <row r="6">
      <c r="A6" t="inlineStr">
        <is>
          <t xml:space="preserve">  GP Cut: Performance Fees Crystallized (TPA — 30% of fund net)</t>
        </is>
      </c>
      <c r="B6" s="16" t="n">
        <v>51906.99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31206.94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262.24</v>
      </c>
      <c r="D11" s="22" t="n">
        <v>6244.65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262.24</v>
      </c>
      <c r="D12" s="22" t="n">
        <v>262.24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262.24</v>
      </c>
      <c r="D13" s="22" t="n">
        <v>262.24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31993.66</v>
      </c>
      <c r="D14" s="8" t="n">
        <v>6769.129999999999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Alec Atkinson</t>
        </is>
      </c>
      <c r="B18" t="inlineStr">
        <is>
          <t>1099</t>
        </is>
      </c>
      <c r="C18" s="6" t="n">
        <v>11848.88</v>
      </c>
      <c r="D18" s="6" t="n">
        <v>11848.88</v>
      </c>
      <c r="E18" t="inlineStr">
        <is>
          <t>39% × his investors' perf fees</t>
        </is>
      </c>
    </row>
    <row r="19">
      <c r="A19" t="inlineStr">
        <is>
          <t>AJ Affleck</t>
        </is>
      </c>
      <c r="B19" t="inlineStr">
        <is>
          <t>1099</t>
        </is>
      </c>
      <c r="C19" s="6" t="n">
        <v>1268.23</v>
      </c>
      <c r="D19" s="6" t="n">
        <v>7500.6</v>
      </c>
      <c r="E19" t="inlineStr">
        <is>
          <t>39% × her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3218.29</v>
      </c>
      <c r="D20" s="6" t="n">
        <v>3218.29</v>
      </c>
      <c r="E20" t="inlineStr">
        <is>
          <t>39% × his investors' perf fees</t>
        </is>
      </c>
    </row>
    <row r="21">
      <c r="A21" t="inlineStr">
        <is>
          <t>Issac</t>
        </is>
      </c>
      <c r="B21" t="inlineStr">
        <is>
          <t>1099</t>
        </is>
      </c>
      <c r="C21" s="6" t="n">
        <v>254.12</v>
      </c>
      <c r="D21" s="6" t="n">
        <v>254.12</v>
      </c>
      <c r="E21" t="inlineStr">
        <is>
          <t>39% × his investors' perf fees</t>
        </is>
      </c>
    </row>
    <row r="22">
      <c r="A22" s="7" t="inlineStr">
        <is>
          <t>1099 Subtotal</t>
        </is>
      </c>
      <c r="B22" s="7" t="n"/>
      <c r="C22" s="8" t="n">
        <v>16589.52</v>
      </c>
      <c r="D22" s="8" t="n">
        <v>22821.89</v>
      </c>
      <c r="E22" s="7" t="n"/>
    </row>
    <row r="24">
      <c r="A24" s="5" t="inlineStr">
        <is>
          <t>TOTAL CASH PAID TO PEOPLE (K-1 + 1099)</t>
        </is>
      </c>
      <c r="D24" s="16" t="n">
        <v>29591.02</v>
      </c>
    </row>
    <row r="26">
      <c r="A26" s="33" t="inlineStr">
        <is>
          <t>OPERATING EXPENSES (paid by GP entity to vendors)</t>
        </is>
      </c>
    </row>
    <row r="27">
      <c r="A27" s="4" t="inlineStr">
        <is>
          <t>Vendor</t>
        </is>
      </c>
      <c r="B27" s="4" t="inlineStr">
        <is>
          <t>Category</t>
        </is>
      </c>
      <c r="C27" s="4" t="inlineStr">
        <is>
          <t>Amount</t>
        </is>
      </c>
      <c r="D27" s="4" t="inlineStr"/>
      <c r="E27" s="4" t="inlineStr">
        <is>
          <t>Notes</t>
        </is>
      </c>
    </row>
    <row r="28">
      <c r="A28" t="inlineStr">
        <is>
          <t>Website</t>
        </is>
      </c>
      <c r="B28" t="inlineStr">
        <is>
          <t>Marketing/Web</t>
        </is>
      </c>
      <c r="C28" s="6" t="n">
        <v>7500</v>
      </c>
      <c r="E28" t="inlineStr"/>
    </row>
    <row r="29">
      <c r="A29" s="7" t="inlineStr">
        <is>
          <t>Op Expenses Subtotal</t>
        </is>
      </c>
      <c r="B29" s="7" t="n"/>
      <c r="C29" s="8" t="n">
        <v>7500</v>
      </c>
      <c r="D29" s="7" t="n"/>
      <c r="E29" s="7" t="n"/>
    </row>
    <row r="31">
      <c r="A31" s="33" t="inlineStr">
        <is>
          <t>RECONCILIATION</t>
        </is>
      </c>
    </row>
    <row r="32">
      <c r="A32" t="inlineStr">
        <is>
          <t>Capital In (TPA Perf Fees Crystallized)</t>
        </is>
      </c>
      <c r="D32" s="6" t="n">
        <v>51906.99</v>
      </c>
    </row>
    <row r="33">
      <c r="A33" t="inlineStr">
        <is>
          <t>Less: Cash to people (K-1 + 1099)</t>
        </is>
      </c>
      <c r="D33" s="6" t="n">
        <v>-29591.02</v>
      </c>
    </row>
    <row r="34">
      <c r="A34" t="inlineStr">
        <is>
          <t>Less: Op expenses to vendors</t>
        </is>
      </c>
      <c r="D34" s="6" t="n">
        <v>-7500</v>
      </c>
    </row>
    <row r="35">
      <c r="A35" s="7">
        <f> Residual / (Deficit) for the month</f>
        <v/>
      </c>
      <c r="B35" s="34" t="n"/>
      <c r="C35" s="34" t="n"/>
      <c r="D35" s="36" t="n">
        <v>14815.97</v>
      </c>
      <c r="E35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Nov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190568.39</v>
      </c>
    </row>
    <row r="6">
      <c r="A6" t="inlineStr">
        <is>
          <t xml:space="preserve">  GP Cut: Performance Fees Crystallized (TPA — 30% of fund net)</t>
        </is>
      </c>
      <c r="B6" s="16" t="n">
        <v>57074.08999999997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34183.9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287.26</v>
      </c>
      <c r="D11" s="22" t="n">
        <v>15531.01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287.26</v>
      </c>
      <c r="D12" s="22" t="n">
        <v>287.26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287.26</v>
      </c>
      <c r="D13" s="22" t="n">
        <v>287.26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35045.68000000001</v>
      </c>
      <c r="D14" s="8" t="n">
        <v>16105.53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1833.52</v>
      </c>
      <c r="D18" s="6" t="n">
        <v>16567.16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15124.18</v>
      </c>
      <c r="D19" s="6" t="n">
        <v>15124.18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4184.51</v>
      </c>
      <c r="D20" s="6" t="n">
        <v>4184.51</v>
      </c>
      <c r="E20" t="inlineStr">
        <is>
          <t>39% × his investors' perf fees</t>
        </is>
      </c>
    </row>
    <row r="21">
      <c r="A21" t="inlineStr">
        <is>
          <t>Issac</t>
        </is>
      </c>
      <c r="B21" t="inlineStr">
        <is>
          <t>1099</t>
        </is>
      </c>
      <c r="C21" s="6" t="n">
        <v>785.85</v>
      </c>
      <c r="D21" s="6" t="n">
        <v>785.85</v>
      </c>
      <c r="E21" t="inlineStr">
        <is>
          <t>39% × his investors' perf fees</t>
        </is>
      </c>
    </row>
    <row r="22">
      <c r="A22" t="inlineStr">
        <is>
          <t>Nikki</t>
        </is>
      </c>
      <c r="B22" t="inlineStr">
        <is>
          <t>1099</t>
        </is>
      </c>
      <c r="C22" s="6" t="n">
        <v>0</v>
      </c>
      <c r="D22" s="6" t="n">
        <v>223</v>
      </c>
      <c r="E22" t="inlineStr"/>
    </row>
    <row r="23">
      <c r="A23" s="7" t="inlineStr">
        <is>
          <t>1099 Subtotal</t>
        </is>
      </c>
      <c r="B23" s="7" t="n"/>
      <c r="C23" s="8" t="n">
        <v>21928.06</v>
      </c>
      <c r="D23" s="8" t="n">
        <v>36884.7</v>
      </c>
      <c r="E23" s="7" t="n"/>
    </row>
    <row r="25">
      <c r="A25" s="5" t="inlineStr">
        <is>
          <t>TOTAL CASH PAID TO PEOPLE (K-1 + 1099)</t>
        </is>
      </c>
      <c r="D25" s="16" t="n">
        <v>52990.23</v>
      </c>
    </row>
    <row r="27">
      <c r="A27" s="33" t="inlineStr">
        <is>
          <t>OPERATING EXPENSES (paid by GP entity to vendors)</t>
        </is>
      </c>
    </row>
    <row r="28">
      <c r="A28" s="4" t="inlineStr">
        <is>
          <t>Vendor</t>
        </is>
      </c>
      <c r="B28" s="4" t="inlineStr">
        <is>
          <t>Category</t>
        </is>
      </c>
      <c r="C28" s="4" t="inlineStr">
        <is>
          <t>Amount</t>
        </is>
      </c>
      <c r="D28" s="4" t="inlineStr"/>
      <c r="E28" s="4" t="inlineStr">
        <is>
          <t>Notes</t>
        </is>
      </c>
    </row>
    <row r="29">
      <c r="A29" t="inlineStr">
        <is>
          <t>Consulting</t>
        </is>
      </c>
      <c r="B29" t="inlineStr">
        <is>
          <t>Consulting</t>
        </is>
      </c>
      <c r="C29" s="6" t="n">
        <v>7500</v>
      </c>
      <c r="E29" t="inlineStr"/>
    </row>
    <row r="30">
      <c r="A30" t="inlineStr">
        <is>
          <t>Alpha Verification</t>
        </is>
      </c>
      <c r="B30" t="inlineStr">
        <is>
          <t>Verification/Compliance</t>
        </is>
      </c>
      <c r="C30" s="6" t="n">
        <v>2250</v>
      </c>
      <c r="E30" t="inlineStr"/>
    </row>
    <row r="31">
      <c r="A31" t="inlineStr">
        <is>
          <t>Formidium (TPA)</t>
        </is>
      </c>
      <c r="B31" t="inlineStr">
        <is>
          <t>Admin / TPA Fee</t>
        </is>
      </c>
      <c r="C31" s="6" t="n">
        <v>600</v>
      </c>
      <c r="E31" t="inlineStr">
        <is>
          <t>VERIFY GP-paid vs fund-paid</t>
        </is>
      </c>
    </row>
    <row r="32">
      <c r="A32" s="7" t="inlineStr">
        <is>
          <t>Op Expenses Subtotal</t>
        </is>
      </c>
      <c r="B32" s="7" t="n"/>
      <c r="C32" s="8" t="n">
        <v>10350</v>
      </c>
      <c r="D32" s="7" t="n"/>
      <c r="E32" s="7" t="n"/>
    </row>
    <row r="34">
      <c r="A34" s="33" t="inlineStr">
        <is>
          <t>RECONCILIATION</t>
        </is>
      </c>
    </row>
    <row r="35">
      <c r="A35" t="inlineStr">
        <is>
          <t>Capital In (TPA Perf Fees Crystallized)</t>
        </is>
      </c>
      <c r="D35" s="6" t="n">
        <v>57074.08999999997</v>
      </c>
    </row>
    <row r="36">
      <c r="A36" t="inlineStr">
        <is>
          <t>Less: Cash to people (K-1 + 1099)</t>
        </is>
      </c>
      <c r="D36" s="6" t="n">
        <v>-52990.23</v>
      </c>
    </row>
    <row r="37">
      <c r="A37" t="inlineStr">
        <is>
          <t>Less: Op expenses to vendors</t>
        </is>
      </c>
      <c r="D37" s="6" t="n">
        <v>-10350</v>
      </c>
    </row>
    <row r="38">
      <c r="A38" s="7">
        <f> Residual / (Deficit) for the month</f>
        <v/>
      </c>
      <c r="B38" s="34" t="n"/>
      <c r="C38" s="34" t="n"/>
      <c r="D38" s="35" t="n">
        <v>-6266.140000000029</v>
      </c>
      <c r="E38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Dec 2025 — GP P&amp;L Detail (Armada Prime Tech LLC)</t>
        </is>
      </c>
    </row>
    <row r="2">
      <c r="A2" s="2" t="inlineStr">
        <is>
          <t>Standard waterfall: 59.5% Fund Mgmt (Nairne K-1) + 39% Consultant + 0.5%×3 principals = 30% of fund net.</t>
        </is>
      </c>
    </row>
    <row r="4">
      <c r="A4" s="33" t="inlineStr">
        <is>
          <t>CAPITAL IN</t>
        </is>
      </c>
    </row>
    <row r="5">
      <c r="A5" t="inlineStr">
        <is>
          <t xml:space="preserve">  Fund Total Income (Armada Prime LLP, 82% post-TQ)</t>
        </is>
      </c>
      <c r="B5" s="6" t="n">
        <v>100636.99</v>
      </c>
    </row>
    <row r="6">
      <c r="A6" t="inlineStr">
        <is>
          <t xml:space="preserve">  GP Cut: Performance Fees Crystallized (TPA — 30% of fund net)</t>
        </is>
      </c>
      <c r="B6" s="16" t="n">
        <v>16211.69</v>
      </c>
    </row>
    <row r="8">
      <c r="A8" s="33" t="inlineStr">
        <is>
          <t>PAID OUT — K-1 PARTNERS (Nairne 60% + Raj 0.5%)</t>
        </is>
      </c>
    </row>
    <row r="9">
      <c r="A9" s="4" t="inlineStr">
        <is>
          <t>Recipient</t>
        </is>
      </c>
      <c r="B9" s="4" t="inlineStr">
        <is>
          <t>Tax Type</t>
        </is>
      </c>
      <c r="C9" s="4" t="inlineStr">
        <is>
          <t>Gross Slice</t>
        </is>
      </c>
      <c r="D9" s="4" t="inlineStr">
        <is>
          <t>Net Paid</t>
        </is>
      </c>
      <c r="E9" s="4" t="inlineStr">
        <is>
          <t>Notes</t>
        </is>
      </c>
    </row>
    <row r="10">
      <c r="A10" s="21" t="inlineStr">
        <is>
          <t>Nairne — Fund Mgmt 59.5% slice</t>
        </is>
      </c>
      <c r="B10" s="21" t="inlineStr">
        <is>
          <t>K-1</t>
        </is>
      </c>
      <c r="C10" s="22" t="n">
        <v>9428.24</v>
      </c>
      <c r="D10" s="22" t="n">
        <v>0</v>
      </c>
      <c r="E10" s="21" t="inlineStr">
        <is>
          <t>Nairne's share of GP cut</t>
        </is>
      </c>
    </row>
    <row r="11">
      <c r="A11" s="21" t="inlineStr">
        <is>
          <t>Nairne — direct 0.5%</t>
        </is>
      </c>
      <c r="B11" s="21" t="inlineStr">
        <is>
          <t>K-1</t>
        </is>
      </c>
      <c r="C11" s="22" t="n">
        <v>79.23</v>
      </c>
      <c r="D11" s="22" t="n">
        <v>4904.6</v>
      </c>
      <c r="E11" s="21" t="inlineStr">
        <is>
          <t>Direct member slice</t>
        </is>
      </c>
    </row>
    <row r="12">
      <c r="A12" s="21" t="inlineStr">
        <is>
          <t>Raj Duggal — direct 0.5%</t>
        </is>
      </c>
      <c r="B12" s="21" t="inlineStr">
        <is>
          <t>K-1</t>
        </is>
      </c>
      <c r="C12" s="22" t="n">
        <v>79.23</v>
      </c>
      <c r="D12" s="22" t="n">
        <v>79.23</v>
      </c>
      <c r="E12" s="21" t="inlineStr">
        <is>
          <t>Direct member slice</t>
        </is>
      </c>
    </row>
    <row r="13">
      <c r="A13" s="21" t="inlineStr">
        <is>
          <t>Phil — direct 0.5%</t>
        </is>
      </c>
      <c r="B13" s="21" t="inlineStr">
        <is>
          <t>K-1</t>
        </is>
      </c>
      <c r="C13" s="22" t="n">
        <v>79.23</v>
      </c>
      <c r="D13" s="22" t="n">
        <v>79.23</v>
      </c>
      <c r="E13" s="21" t="inlineStr">
        <is>
          <t>Direct member slice (Phil is K-1 per Nairne 2026-05-05)</t>
        </is>
      </c>
    </row>
    <row r="14">
      <c r="A14" s="7" t="inlineStr">
        <is>
          <t>K-1 Subtotal</t>
        </is>
      </c>
      <c r="B14" s="7" t="n"/>
      <c r="C14" s="8" t="n">
        <v>9665.929999999998</v>
      </c>
      <c r="D14" s="8" t="n">
        <v>5063.059999999999</v>
      </c>
      <c r="E14" s="7" t="n"/>
    </row>
    <row r="16">
      <c r="A16" s="33" t="inlineStr">
        <is>
          <t>PAID OUT — 1099 CONTRACTORS</t>
        </is>
      </c>
    </row>
    <row r="17">
      <c r="A17" s="4" t="inlineStr">
        <is>
          <t>Recipient</t>
        </is>
      </c>
      <c r="B17" s="4" t="inlineStr">
        <is>
          <t>Tax Type</t>
        </is>
      </c>
      <c r="C17" s="4" t="inlineStr">
        <is>
          <t>Gross Slice</t>
        </is>
      </c>
      <c r="D17" s="4" t="inlineStr">
        <is>
          <t>Net Paid</t>
        </is>
      </c>
      <c r="E17" s="4" t="inlineStr">
        <is>
          <t>Notes</t>
        </is>
      </c>
    </row>
    <row r="18">
      <c r="A18" t="inlineStr">
        <is>
          <t>AJ Affleck</t>
        </is>
      </c>
      <c r="B18" t="inlineStr">
        <is>
          <t>1099</t>
        </is>
      </c>
      <c r="C18" s="6" t="n">
        <v>429.71</v>
      </c>
      <c r="D18" s="6" t="n">
        <v>5260.51</v>
      </c>
      <c r="E18" t="inlineStr">
        <is>
          <t>39% × her investors' perf fees</t>
        </is>
      </c>
    </row>
    <row r="19">
      <c r="A19" t="inlineStr">
        <is>
          <t>Alec Atkinson</t>
        </is>
      </c>
      <c r="B19" t="inlineStr">
        <is>
          <t>1099</t>
        </is>
      </c>
      <c r="C19" s="6" t="n">
        <v>4369.77</v>
      </c>
      <c r="D19" s="6" t="n">
        <v>4369.77</v>
      </c>
      <c r="E19" t="inlineStr">
        <is>
          <t>39% × his investors' perf fees</t>
        </is>
      </c>
    </row>
    <row r="20">
      <c r="A20" t="inlineStr">
        <is>
          <t>Jake Gordon</t>
        </is>
      </c>
      <c r="B20" t="inlineStr">
        <is>
          <t>1099</t>
        </is>
      </c>
      <c r="C20" s="6" t="n">
        <v>788.78</v>
      </c>
      <c r="D20" s="6" t="n">
        <v>788.78</v>
      </c>
      <c r="E20" t="inlineStr">
        <is>
          <t>39% × his investors' perf fees</t>
        </is>
      </c>
    </row>
    <row r="21">
      <c r="A21" t="inlineStr">
        <is>
          <t>Luke</t>
        </is>
      </c>
      <c r="B21" t="inlineStr">
        <is>
          <t>1099</t>
        </is>
      </c>
      <c r="C21" s="6" t="n">
        <v>164.9</v>
      </c>
      <c r="D21" s="6" t="n">
        <v>164.9</v>
      </c>
      <c r="E21" t="inlineStr">
        <is>
          <t>39% × his investors' perf fees</t>
        </is>
      </c>
    </row>
    <row r="22">
      <c r="A22" t="inlineStr">
        <is>
          <t>Issac</t>
        </is>
      </c>
      <c r="B22" t="inlineStr">
        <is>
          <t>1099</t>
        </is>
      </c>
      <c r="C22" s="6" t="n">
        <v>-278.48</v>
      </c>
      <c r="D22" s="25" t="n">
        <v>-278.48</v>
      </c>
      <c r="E22" t="inlineStr">
        <is>
          <t>39% × his investors' perf fees</t>
        </is>
      </c>
    </row>
    <row r="23">
      <c r="A23" s="7" t="inlineStr">
        <is>
          <t>1099 Subtotal</t>
        </is>
      </c>
      <c r="B23" s="7" t="n"/>
      <c r="C23" s="8" t="n">
        <v>5474.68</v>
      </c>
      <c r="D23" s="8" t="n">
        <v>10305.48</v>
      </c>
      <c r="E23" s="7" t="n"/>
    </row>
    <row r="25">
      <c r="A25" s="5" t="inlineStr">
        <is>
          <t>TOTAL CASH PAID TO PEOPLE (K-1 + 1099)</t>
        </is>
      </c>
      <c r="D25" s="16" t="n">
        <v>15368.54</v>
      </c>
    </row>
    <row r="27">
      <c r="A27" s="33" t="inlineStr">
        <is>
          <t>OPERATING EXPENSES (paid by GP entity to vendors)</t>
        </is>
      </c>
    </row>
    <row r="28">
      <c r="A28" s="4" t="inlineStr">
        <is>
          <t>Vendor</t>
        </is>
      </c>
      <c r="B28" s="4" t="inlineStr">
        <is>
          <t>Category</t>
        </is>
      </c>
      <c r="C28" s="4" t="inlineStr">
        <is>
          <t>Amount</t>
        </is>
      </c>
      <c r="D28" s="4" t="inlineStr"/>
      <c r="E28" s="4" t="inlineStr">
        <is>
          <t>Notes</t>
        </is>
      </c>
    </row>
    <row r="29">
      <c r="A29" t="inlineStr">
        <is>
          <t>Chris</t>
        </is>
      </c>
      <c r="B29" t="inlineStr">
        <is>
          <t>Payroll/Contractor</t>
        </is>
      </c>
      <c r="C29" s="6" t="n">
        <v>4000</v>
      </c>
      <c r="E29" t="inlineStr"/>
    </row>
    <row r="30">
      <c r="A30" t="inlineStr">
        <is>
          <t>TPA (Formidium)</t>
        </is>
      </c>
      <c r="B30" t="inlineStr">
        <is>
          <t>Admin / TPA Fee</t>
        </is>
      </c>
      <c r="C30" s="6" t="n">
        <v>600</v>
      </c>
      <c r="E30" t="inlineStr">
        <is>
          <t>VERIFY GP-paid vs fund-paid</t>
        </is>
      </c>
    </row>
    <row r="31">
      <c r="A31" t="inlineStr">
        <is>
          <t>Insurance</t>
        </is>
      </c>
      <c r="B31" t="inlineStr">
        <is>
          <t>Insurance</t>
        </is>
      </c>
      <c r="C31" s="6" t="n">
        <v>18000</v>
      </c>
      <c r="E31" t="inlineStr">
        <is>
          <t>RECLASS: likely annual D&amp;O, pro-rate</t>
        </is>
      </c>
    </row>
    <row r="32">
      <c r="A32" t="inlineStr">
        <is>
          <t>TPA (second line)</t>
        </is>
      </c>
      <c r="B32" t="inlineStr">
        <is>
          <t>Admin / TPA Fee</t>
        </is>
      </c>
      <c r="C32" s="6" t="n">
        <v>4500</v>
      </c>
      <c r="E32" t="inlineStr">
        <is>
          <t>VERIFY GP-paid vs fund-paid</t>
        </is>
      </c>
    </row>
    <row r="33">
      <c r="A33" s="7" t="inlineStr">
        <is>
          <t>Op Expenses Subtotal</t>
        </is>
      </c>
      <c r="B33" s="7" t="n"/>
      <c r="C33" s="8" t="n">
        <v>27100</v>
      </c>
      <c r="D33" s="7" t="n"/>
      <c r="E33" s="7" t="n"/>
    </row>
    <row r="35">
      <c r="A35" s="33" t="inlineStr">
        <is>
          <t>RECONCILIATION</t>
        </is>
      </c>
    </row>
    <row r="36">
      <c r="A36" t="inlineStr">
        <is>
          <t>Capital In (TPA Perf Fees Crystallized)</t>
        </is>
      </c>
      <c r="D36" s="6" t="n">
        <v>16211.69</v>
      </c>
    </row>
    <row r="37">
      <c r="A37" t="inlineStr">
        <is>
          <t>Less: Cash to people (K-1 + 1099)</t>
        </is>
      </c>
      <c r="D37" s="6" t="n">
        <v>-15368.54</v>
      </c>
    </row>
    <row r="38">
      <c r="A38" t="inlineStr">
        <is>
          <t>Less: Op expenses to vendors</t>
        </is>
      </c>
      <c r="D38" s="6" t="n">
        <v>-27100</v>
      </c>
    </row>
    <row r="39">
      <c r="A39" s="7">
        <f> Residual / (Deficit) for the month</f>
        <v/>
      </c>
      <c r="B39" s="34" t="n"/>
      <c r="C39" s="34" t="n"/>
      <c r="D39" s="35" t="n">
        <v>-26256.85</v>
      </c>
      <c r="E39" s="34" t="n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5" customWidth="1" min="4" max="4"/>
    <col width="45" customWidth="1" min="5" max="5"/>
  </cols>
  <sheetData>
    <row r="1">
      <c r="A1" s="1" t="inlineStr">
        <is>
          <t>Reconciliation: TPA-derived vs Internal Sources</t>
        </is>
      </c>
    </row>
    <row r="2"/>
    <row r="3">
      <c r="A3" s="4" t="inlineStr">
        <is>
          <t>Item</t>
        </is>
      </c>
      <c r="B3" s="4" t="inlineStr">
        <is>
          <t>TPA Source ($)</t>
        </is>
      </c>
      <c r="C3" s="4" t="inlineStr">
        <is>
          <t>Internal Source ($)</t>
        </is>
      </c>
      <c r="D3" s="4" t="inlineStr">
        <is>
          <t>Delta ($)</t>
        </is>
      </c>
      <c r="E3" s="4" t="inlineStr">
        <is>
          <t>Notes</t>
        </is>
      </c>
    </row>
    <row r="4">
      <c r="A4" t="inlineStr">
        <is>
          <t>Dec 2025 Perf Fees Crystallized</t>
        </is>
      </c>
      <c r="B4" s="6" t="n">
        <v>16211.69</v>
      </c>
      <c r="C4" s="6" t="n">
        <v>15140.61</v>
      </c>
      <c r="D4" s="25" t="n">
        <v>1071.080000000002</v>
      </c>
      <c r="E4" t="inlineStr">
        <is>
          <t>BEST ONE Dec Consultants tab total</t>
        </is>
      </c>
    </row>
    <row r="5">
      <c r="A5" t="inlineStr">
        <is>
          <t>Sum 1099 + 0.5% direct slices = Gross Perf</t>
        </is>
      </c>
      <c r="B5" s="6" t="n">
        <v>153023.0299999999</v>
      </c>
      <c r="C5" s="6" t="n">
        <v>153023.03</v>
      </c>
      <c r="D5" s="6" t="n">
        <v>-2.91038304567337e-11</v>
      </c>
      <c r="E5" t="inlineStr">
        <is>
          <t>Internal arithmetic check</t>
        </is>
      </c>
    </row>
    <row r="6"/>
    <row r="7">
      <c r="A7" s="5" t="inlineStr">
        <is>
          <t>Unmapped investors (no consultant attribution)</t>
        </is>
      </c>
    </row>
    <row r="8">
      <c r="A8" t="inlineStr">
        <is>
          <t>None — every investor mapped successfully.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2026-05-07T15:49:33Z</dcterms:created>
  <dcterms:modified xmlns:dcterms="http://purl.org/dc/terms/" xmlns:xsi="http://www.w3.org/2001/XMLSchema-instance" xsi:type="dcterms:W3CDTF">2026-05-07T15:49:33Z</dcterms:modified>
</cp:coreProperties>
</file>