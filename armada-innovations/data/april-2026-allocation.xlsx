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2026 Allocation" sheetId="1" state="visible" r:id="rId1"/>
    <sheet xmlns:r="http://schemas.openxmlformats.org/officeDocument/2006/relationships" name="Who Gets What" sheetId="2" state="visible" r:id="rId2"/>
    <sheet xmlns:r="http://schemas.openxmlformats.org/officeDocument/2006/relationships" name="Brokerage At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;[Red](&quot;$&quot;#,##0.00)"/>
    <numFmt numFmtId="165" formatCode="0.000%"/>
  </numFmts>
  <fonts count="8">
    <font>
      <name val="Calibri"/>
      <family val="2"/>
      <color theme="1"/>
      <sz val="11"/>
      <scheme val="minor"/>
    </font>
    <font>
      <b val="1"/>
      <sz val="15"/>
    </font>
    <font>
      <i val="1"/>
      <color rgb="00666666"/>
      <sz val="10"/>
    </font>
    <font>
      <b val="1"/>
      <color rgb="00FFFFFF"/>
      <sz val="11"/>
    </font>
    <font>
      <sz val="11"/>
    </font>
    <font>
      <b val="1"/>
      <sz val="11"/>
    </font>
    <font>
      <b val="1"/>
      <sz val="13"/>
    </font>
    <font>
      <i val="1"/>
      <color rgb="00666666"/>
    </font>
  </fonts>
  <fills count="8">
    <fill>
      <patternFill/>
    </fill>
    <fill>
      <patternFill patternType="gray125"/>
    </fill>
    <fill>
      <patternFill patternType="solid">
        <fgColor rgb="001A2236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2A3550"/>
      </patternFill>
    </fill>
    <fill>
      <patternFill patternType="solid">
        <fgColor rgb="00FEE2E2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5" fillId="3" borderId="1" pivotButton="0" quotePrefix="0" xfId="0"/>
    <xf numFmtId="0" fontId="2" fillId="0" borderId="1" pivotButton="0" quotePrefix="0" xfId="0"/>
    <xf numFmtId="165" fontId="5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0" fontId="0" fillId="4" borderId="1" pivotButton="0" quotePrefix="0" xfId="0"/>
    <xf numFmtId="0" fontId="2" fillId="4" borderId="1" pivotButton="0" quotePrefix="0" xfId="0"/>
    <xf numFmtId="0" fontId="3" fillId="5" borderId="1" pivotButton="0" quotePrefix="0" xfId="0"/>
    <xf numFmtId="164" fontId="3" fillId="5" borderId="1" pivotButton="0" quotePrefix="0" xfId="0"/>
    <xf numFmtId="10" fontId="3" fillId="5" borderId="1" pivotButton="0" quotePrefix="0" xfId="0"/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10" fontId="0" fillId="6" borderId="1" pivotButton="0" quotePrefix="0" xfId="0"/>
    <xf numFmtId="165" fontId="0" fillId="6" borderId="1" pivotButton="0" quotePrefix="0" xfId="0"/>
    <xf numFmtId="10" fontId="5" fillId="0" borderId="1" pivotButton="0" quotePrefix="0" xfId="0"/>
    <xf numFmtId="165" fontId="0" fillId="4" borderId="1" pivotButton="0" quotePrefix="0" xfId="0"/>
    <xf numFmtId="0" fontId="0" fillId="7" borderId="1" pivotButton="0" quotePrefix="0" xfId="0"/>
    <xf numFmtId="164" fontId="0" fillId="7" borderId="1" pivotButton="0" quotePrefix="0" xfId="0"/>
    <xf numFmtId="10" fontId="0" fillId="7" borderId="1" pivotButton="0" quotePrefix="0" xfId="0"/>
    <xf numFmtId="165" fontId="0" fillId="7" borderId="1" pivotButton="0" quotePrefix="0" xfId="0"/>
    <xf numFmtId="165" fontId="3" fillId="5" borderId="1" pivotButton="0" quotePrefix="0" xfId="0"/>
    <xf numFmtId="164" fontId="5" fillId="7" borderId="1" pivotButton="0" quotePrefix="0" xfId="0"/>
    <xf numFmtId="0" fontId="5" fillId="4" borderId="1" pivotButton="0" quotePrefix="0" xfId="0"/>
    <xf numFmtId="164" fontId="5" fillId="4" borderId="1" pivotButton="0" quotePrefix="0" xfId="0"/>
    <xf numFmtId="0" fontId="5" fillId="6" borderId="1" pivotButton="0" quotePrefix="0" xfId="0"/>
    <xf numFmtId="164" fontId="5" fillId="6" borderId="1" pivotButton="0" quotePrefix="0" xfId="0"/>
    <xf numFmtId="0" fontId="2" fillId="6" borderId="1" pivotButton="0" quotePrefix="0" xfId="0"/>
    <xf numFmtId="0" fontId="5" fillId="7" borderId="1" pivotButton="0" quotePrefix="0" xfId="0"/>
    <xf numFmtId="0" fontId="2" fillId="7" borderId="1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4" fontId="0" fillId="3" borderId="1" pivotButton="0" quotePrefix="0" xfId="0"/>
    <xf numFmtId="164" fontId="0" fillId="0" borderId="1" pivotButton="0" quotePrefix="0" xfId="0"/>
    <xf numFmtId="0" fontId="0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5" customWidth="1" min="3" max="3"/>
    <col width="50" customWidth="1" min="4" max="4"/>
  </cols>
  <sheetData>
    <row r="1">
      <c r="A1" s="1" t="inlineStr">
        <is>
          <t>Armada Capital Group LLP — April 2026 Allocation</t>
        </is>
      </c>
    </row>
    <row r="2">
      <c r="A2" s="2" t="inlineStr">
        <is>
          <t>Scenario B: JJNA $8M April capital call active during April. Yellow cells = inputs.</t>
        </is>
      </c>
    </row>
    <row r="4">
      <c r="A4" s="3" t="inlineStr">
        <is>
          <t>INPUTS</t>
        </is>
      </c>
      <c r="B4" s="3" t="inlineStr">
        <is>
          <t>Value</t>
        </is>
      </c>
      <c r="C4" s="3" t="inlineStr">
        <is>
          <t>Format</t>
        </is>
      </c>
      <c r="D4" s="3" t="inlineStr">
        <is>
          <t>Source / Notes</t>
        </is>
      </c>
    </row>
    <row r="5">
      <c r="A5" s="4" t="inlineStr">
        <is>
          <t>Bliss Investments LLC — beginning capital</t>
        </is>
      </c>
      <c r="B5" s="5" t="n">
        <v>508472</v>
      </c>
      <c r="C5" s="4" t="inlineStr">
        <is>
          <t>$</t>
        </is>
      </c>
      <c r="D5" s="6" t="inlineStr">
        <is>
          <t>March 31 PCAS ending balance</t>
        </is>
      </c>
    </row>
    <row r="6">
      <c r="A6" s="4" t="inlineStr">
        <is>
          <t>JJNA, LLC — March accrual carryforward</t>
        </is>
      </c>
      <c r="B6" s="5" t="n">
        <v>20000</v>
      </c>
      <c r="C6" s="4" t="inlineStr">
        <is>
          <t>$</t>
        </is>
      </c>
      <c r="D6" s="6" t="inlineStr">
        <is>
          <t>March 31 PCAS ending balance</t>
        </is>
      </c>
    </row>
    <row r="7">
      <c r="A7" s="4" t="inlineStr">
        <is>
          <t>JJNA, LLC — April capital call</t>
        </is>
      </c>
      <c r="B7" s="5" t="n">
        <v>8000000</v>
      </c>
      <c r="C7" s="4" t="inlineStr">
        <is>
          <t>$</t>
        </is>
      </c>
      <c r="D7" s="6" t="inlineStr">
        <is>
          <t>$8M JJNA close formally lands in April (was deployed in March as 'received in advance')</t>
        </is>
      </c>
    </row>
    <row r="8">
      <c r="A8" s="4" t="inlineStr">
        <is>
          <t>Gross monthly return</t>
        </is>
      </c>
      <c r="B8" s="7" t="n">
        <v>0.057</v>
      </c>
      <c r="C8" s="4" t="inlineStr">
        <is>
          <t>%</t>
        </is>
      </c>
      <c r="D8" s="6" t="inlineStr">
        <is>
          <t>April 2026 gross fund return</t>
        </is>
      </c>
    </row>
    <row r="10">
      <c r="A10" s="3" t="inlineStr">
        <is>
          <t>BEGINNING CAPITAL</t>
        </is>
      </c>
      <c r="B10" s="3" t="inlineStr">
        <is>
          <t>Amount</t>
        </is>
      </c>
      <c r="C10" s="3" t="inlineStr">
        <is>
          <t>% of Total</t>
        </is>
      </c>
      <c r="D10" s="3" t="inlineStr">
        <is>
          <t>Detail</t>
        </is>
      </c>
    </row>
    <row r="11">
      <c r="A11" s="8" t="inlineStr">
        <is>
          <t>Bliss Investments LLC</t>
        </is>
      </c>
      <c r="B11" s="9">
        <f>B5</f>
        <v/>
      </c>
      <c r="C11" s="10">
        <f>B11/$B$13</f>
        <v/>
      </c>
      <c r="D11" s="11" t="inlineStr">
        <is>
          <t>Carry-forward from March</t>
        </is>
      </c>
    </row>
    <row r="12">
      <c r="A12" s="8" t="inlineStr">
        <is>
          <t>JJNA, LLC (carryforward + April call)</t>
        </is>
      </c>
      <c r="B12" s="9">
        <f>B6+B7</f>
        <v/>
      </c>
      <c r="C12" s="10">
        <f>B12/$B$13</f>
        <v/>
      </c>
      <c r="D12" s="11" t="inlineStr">
        <is>
          <t>$20K accrual + $8M April capital call</t>
        </is>
      </c>
    </row>
    <row r="13">
      <c r="A13" s="12" t="inlineStr">
        <is>
          <t>Total LP Capital</t>
        </is>
      </c>
      <c r="B13" s="13">
        <f>B11+B12</f>
        <v/>
      </c>
      <c r="C13" s="14" t="n">
        <v>1</v>
      </c>
      <c r="D13" s="12" t="inlineStr"/>
    </row>
    <row r="15">
      <c r="A15" s="3" t="inlineStr">
        <is>
          <t>GROSS PROFIT</t>
        </is>
      </c>
      <c r="B15" s="3" t="inlineStr">
        <is>
          <t>Amount</t>
        </is>
      </c>
      <c r="C15" s="3" t="inlineStr">
        <is>
          <t>% of Capital</t>
        </is>
      </c>
      <c r="D15" s="3" t="inlineStr">
        <is>
          <t>Formula</t>
        </is>
      </c>
    </row>
    <row r="16">
      <c r="A16" s="15" t="inlineStr">
        <is>
          <t>Gross monthly return × Total LP Capital</t>
        </is>
      </c>
      <c r="B16" s="16">
        <f>B13*B8</f>
        <v/>
      </c>
      <c r="C16" s="17">
        <f>B8</f>
        <v/>
      </c>
      <c r="D16" s="6">
        <f>$8,528,472 × 5.700%</f>
        <v/>
      </c>
    </row>
    <row r="18">
      <c r="A18" s="3" t="inlineStr">
        <is>
          <t>WATERFALL</t>
        </is>
      </c>
      <c r="B18" s="3" t="inlineStr">
        <is>
          <t>Amount</t>
        </is>
      </c>
      <c r="C18" s="3" t="inlineStr">
        <is>
          <t>% of Gross</t>
        </is>
      </c>
      <c r="D18" s="3" t="inlineStr">
        <is>
          <t>Effective % of Capital</t>
        </is>
      </c>
    </row>
    <row r="19">
      <c r="A19" s="18" t="inlineStr">
        <is>
          <t>Traders / TruQuant</t>
        </is>
      </c>
      <c r="B19" s="19">
        <f>B16*0.18</f>
        <v/>
      </c>
      <c r="C19" s="20" t="n">
        <v>0.18</v>
      </c>
      <c r="D19" s="21">
        <f>B19/B13</f>
        <v/>
      </c>
    </row>
    <row r="20">
      <c r="A20" s="15" t="inlineStr">
        <is>
          <t>Armada Capital Group (82%)</t>
        </is>
      </c>
      <c r="B20" s="16">
        <f>B16*0.82</f>
        <v/>
      </c>
      <c r="C20" s="22" t="n">
        <v>0.82</v>
      </c>
      <c r="D20" s="17">
        <f>B20/B13</f>
        <v/>
      </c>
    </row>
    <row r="21">
      <c r="A21" s="8" t="inlineStr">
        <is>
          <t xml:space="preserve">   ↳ LPs (70% of ACG = 57.4% of gross)</t>
        </is>
      </c>
      <c r="B21" s="9">
        <f>B20*0.70</f>
        <v/>
      </c>
      <c r="C21" s="10">
        <f>0.82*0.70</f>
        <v/>
      </c>
      <c r="D21" s="23">
        <f>B21/B13</f>
        <v/>
      </c>
    </row>
    <row r="22">
      <c r="A22" s="24" t="inlineStr">
        <is>
          <t xml:space="preserve">   ↳ GP / Innovations (30% of ACG = 24.6% of gross)</t>
        </is>
      </c>
      <c r="B22" s="25">
        <f>B20*0.30</f>
        <v/>
      </c>
      <c r="C22" s="26">
        <f>0.82*0.30</f>
        <v/>
      </c>
      <c r="D22" s="27">
        <f>B22/B13</f>
        <v/>
      </c>
    </row>
    <row r="23">
      <c r="A23" s="12" t="inlineStr">
        <is>
          <t>Total (must = Gross Profit)</t>
        </is>
      </c>
      <c r="B23" s="13">
        <f>B19+B21+B22</f>
        <v/>
      </c>
      <c r="C23" s="14" t="n">
        <v>1</v>
      </c>
      <c r="D23" s="28">
        <f>B23/B13</f>
        <v/>
      </c>
    </row>
    <row r="25">
      <c r="A25" s="3" t="inlineStr">
        <is>
          <t>LP ALLOCATION (pro-rata by beginning balance)</t>
        </is>
      </c>
      <c r="B25" s="3" t="inlineStr">
        <is>
          <t>Amount</t>
        </is>
      </c>
      <c r="C25" s="3" t="inlineStr">
        <is>
          <t>Pro-rata %</t>
        </is>
      </c>
      <c r="D25" s="3" t="inlineStr">
        <is>
          <t>Effective % on capital</t>
        </is>
      </c>
    </row>
    <row r="26">
      <c r="A26" s="8" t="inlineStr">
        <is>
          <t>Bliss Investments LLC</t>
        </is>
      </c>
      <c r="B26" s="9">
        <f>$B$21*C26</f>
        <v/>
      </c>
      <c r="C26" s="10">
        <f>B11/$B$13</f>
        <v/>
      </c>
      <c r="D26" s="23">
        <f>B26/B11</f>
        <v/>
      </c>
    </row>
    <row r="27">
      <c r="A27" s="8" t="inlineStr">
        <is>
          <t>JJNA, LLC</t>
        </is>
      </c>
      <c r="B27" s="9">
        <f>$B$21*C27</f>
        <v/>
      </c>
      <c r="C27" s="10">
        <f>B12/$B$13</f>
        <v/>
      </c>
      <c r="D27" s="23">
        <f>B27/B12</f>
        <v/>
      </c>
    </row>
    <row r="28">
      <c r="A28" s="12" t="inlineStr">
        <is>
          <t>Total LP</t>
        </is>
      </c>
      <c r="B28" s="13">
        <f>B26+B27</f>
        <v/>
      </c>
      <c r="C28" s="14" t="n">
        <v>1</v>
      </c>
      <c r="D28" s="12" t="inlineStr"/>
    </row>
    <row r="30">
      <c r="A30" s="3" t="inlineStr">
        <is>
          <t>GP DISTRIBUTION — Armada Innovations LLC</t>
        </is>
      </c>
      <c r="B30" s="3" t="inlineStr">
        <is>
          <t>Amount</t>
        </is>
      </c>
      <c r="C30" s="3" t="inlineStr">
        <is>
          <t>Member Share</t>
        </is>
      </c>
      <c r="D30" s="3" t="inlineStr">
        <is>
          <t>Role</t>
        </is>
      </c>
    </row>
    <row r="31">
      <c r="A31" s="24" t="inlineStr">
        <is>
          <t>Nairne</t>
        </is>
      </c>
      <c r="B31" s="29">
        <f>$B$22*C31</f>
        <v/>
      </c>
      <c r="C31" s="26" t="n">
        <v>0.6</v>
      </c>
      <c r="D31" s="24" t="inlineStr">
        <is>
          <t>Managing Member</t>
        </is>
      </c>
    </row>
    <row r="32">
      <c r="A32" s="24" t="inlineStr">
        <is>
          <t>Alec</t>
        </is>
      </c>
      <c r="B32" s="29">
        <f>$B$22*C32</f>
        <v/>
      </c>
      <c r="C32" s="26" t="n">
        <v>0.395</v>
      </c>
      <c r="D32" s="24" t="inlineStr">
        <is>
          <t>Capital Relations</t>
        </is>
      </c>
    </row>
    <row r="33">
      <c r="A33" s="24" t="inlineStr">
        <is>
          <t>Chris</t>
        </is>
      </c>
      <c r="B33" s="29">
        <f>$B$22*C33</f>
        <v/>
      </c>
      <c r="C33" s="26" t="n">
        <v>0.005</v>
      </c>
      <c r="D33" s="24" t="inlineStr">
        <is>
          <t>Member</t>
        </is>
      </c>
    </row>
    <row r="34">
      <c r="A34" s="12" t="inlineStr">
        <is>
          <t>Total GP</t>
        </is>
      </c>
      <c r="B34" s="13">
        <f>B31+B32+B33</f>
        <v/>
      </c>
      <c r="C34" s="14">
        <f>C31+C32+C33</f>
        <v/>
      </c>
      <c r="D34" s="12" t="inlineStr"/>
    </row>
    <row r="36">
      <c r="A36" s="3" t="inlineStr">
        <is>
          <t>APRIL ENDING CAPITAL (= May 1 beginning)</t>
        </is>
      </c>
      <c r="B36" s="3" t="inlineStr">
        <is>
          <t>Amount</t>
        </is>
      </c>
      <c r="C36" s="3" t="inlineStr">
        <is>
          <t>Change</t>
        </is>
      </c>
      <c r="D36" s="3" t="inlineStr"/>
    </row>
    <row r="37">
      <c r="A37" s="30" t="inlineStr">
        <is>
          <t>Bliss Investments LLC</t>
        </is>
      </c>
      <c r="B37" s="31">
        <f>B11+B26</f>
        <v/>
      </c>
      <c r="C37" s="9">
        <f>B26</f>
        <v/>
      </c>
      <c r="D37" s="8" t="inlineStr"/>
    </row>
    <row r="38">
      <c r="A38" s="30" t="inlineStr">
        <is>
          <t>JJNA, LLC</t>
        </is>
      </c>
      <c r="B38" s="31">
        <f>B12+B27</f>
        <v/>
      </c>
      <c r="C38" s="9">
        <f>B27</f>
        <v/>
      </c>
      <c r="D38" s="8" t="inlineStr"/>
    </row>
    <row r="39">
      <c r="A39" s="12" t="inlineStr">
        <is>
          <t>Total LP Ending Capital</t>
        </is>
      </c>
      <c r="B39" s="13">
        <f>B37+B38</f>
        <v/>
      </c>
      <c r="C39" s="13">
        <f>B28</f>
        <v/>
      </c>
      <c r="D39" s="12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2" customWidth="1" min="4" max="4"/>
    <col width="22" customWidth="1" min="5" max="5"/>
  </cols>
  <sheetData>
    <row r="1">
      <c r="A1" s="1" t="inlineStr">
        <is>
          <t>April 2026 — One-Page Summary</t>
        </is>
      </c>
    </row>
    <row r="3">
      <c r="A3" s="3" t="inlineStr">
        <is>
          <t>Recipient</t>
        </is>
      </c>
      <c r="B3" s="3" t="inlineStr">
        <is>
          <t>Bucket</t>
        </is>
      </c>
      <c r="C3" s="3" t="inlineStr">
        <is>
          <t>% of Gross</t>
        </is>
      </c>
      <c r="D3" s="3" t="inlineStr">
        <is>
          <t>April Cut</t>
        </is>
      </c>
      <c r="E3" s="3" t="inlineStr">
        <is>
          <t>Notes</t>
        </is>
      </c>
    </row>
    <row r="4">
      <c r="A4" s="30" t="inlineStr">
        <is>
          <t>Bliss Investments LLC</t>
        </is>
      </c>
      <c r="B4" s="8" t="inlineStr">
        <is>
          <t>LP</t>
        </is>
      </c>
      <c r="C4" s="23">
        <f>D4/$D$13</f>
        <v/>
      </c>
      <c r="D4" s="31">
        <f>'April 2026 Allocation'!B26</f>
        <v/>
      </c>
      <c r="E4" s="11" t="inlineStr">
        <is>
          <t>96.22% of LP slice</t>
        </is>
      </c>
    </row>
    <row r="5">
      <c r="A5" s="30" t="inlineStr">
        <is>
          <t>JJNA, LLC</t>
        </is>
      </c>
      <c r="B5" s="8" t="inlineStr">
        <is>
          <t>LP</t>
        </is>
      </c>
      <c r="C5" s="23">
        <f>D5/$D$13</f>
        <v/>
      </c>
      <c r="D5" s="31">
        <f>'April 2026 Allocation'!B27</f>
        <v/>
      </c>
      <c r="E5" s="11" t="inlineStr">
        <is>
          <t>3.78% of LP slice</t>
        </is>
      </c>
    </row>
    <row r="6">
      <c r="A6" s="32" t="inlineStr">
        <is>
          <t>TruQuant (traders)</t>
        </is>
      </c>
      <c r="B6" s="18" t="inlineStr">
        <is>
          <t>Trader</t>
        </is>
      </c>
      <c r="C6" s="20" t="n">
        <v>0.18</v>
      </c>
      <c r="D6" s="33">
        <f>'April 2026 Allocation'!B19</f>
        <v/>
      </c>
      <c r="E6" s="34" t="inlineStr">
        <is>
          <t>18% straight off the top</t>
        </is>
      </c>
    </row>
    <row r="7">
      <c r="A7" s="35" t="inlineStr">
        <is>
          <t>Nairne</t>
        </is>
      </c>
      <c r="B7" s="24" t="inlineStr">
        <is>
          <t>GP</t>
        </is>
      </c>
      <c r="C7" s="27">
        <f>D7/$D$13</f>
        <v/>
      </c>
      <c r="D7" s="29">
        <f>'April 2026 Allocation'!B31</f>
        <v/>
      </c>
      <c r="E7" s="36" t="inlineStr">
        <is>
          <t>60% of Innovations LLC</t>
        </is>
      </c>
    </row>
    <row r="8">
      <c r="A8" s="35" t="inlineStr">
        <is>
          <t>Alec</t>
        </is>
      </c>
      <c r="B8" s="24" t="inlineStr">
        <is>
          <t>GP</t>
        </is>
      </c>
      <c r="C8" s="27">
        <f>D8/$D$13</f>
        <v/>
      </c>
      <c r="D8" s="29">
        <f>'April 2026 Allocation'!B32</f>
        <v/>
      </c>
      <c r="E8" s="36" t="inlineStr">
        <is>
          <t>39.5% of Innovations LLC</t>
        </is>
      </c>
    </row>
    <row r="9">
      <c r="A9" s="35" t="inlineStr">
        <is>
          <t>Chris</t>
        </is>
      </c>
      <c r="B9" s="24" t="inlineStr">
        <is>
          <t>GP</t>
        </is>
      </c>
      <c r="C9" s="27">
        <f>D9/$D$13</f>
        <v/>
      </c>
      <c r="D9" s="29">
        <f>'April 2026 Allocation'!B33</f>
        <v/>
      </c>
      <c r="E9" s="36" t="inlineStr">
        <is>
          <t>0.5% of Innovations LLC</t>
        </is>
      </c>
    </row>
    <row r="13">
      <c r="A13" s="12" t="inlineStr">
        <is>
          <t>TOTAL GROSS PROFIT</t>
        </is>
      </c>
      <c r="B13" s="12" t="inlineStr"/>
      <c r="C13" s="14" t="n">
        <v>1</v>
      </c>
      <c r="D13" s="13">
        <f>SUM(D4:D9)</f>
        <v/>
      </c>
      <c r="E13" s="13">
        <f>'April 2026 Allocation'!B16</f>
        <v/>
      </c>
    </row>
    <row r="15">
      <c r="A15" s="15" t="inlineStr">
        <is>
          <t>Tie-out (D13 must equal E13):</t>
        </is>
      </c>
      <c r="B15" s="15">
        <f>IF(ROUND(D13-E13,2)=0,"✓ tied","✗ MISMATCH")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6" customWidth="1" min="3" max="3"/>
    <col width="24" customWidth="1" min="4" max="4"/>
    <col width="22" customWidth="1" min="5" max="5"/>
    <col width="24" customWidth="1" min="6" max="6"/>
  </cols>
  <sheetData>
    <row r="1">
      <c r="A1" s="37" t="inlineStr">
        <is>
          <t>Brokerage Account Attribution Flow — May 1, 2026</t>
        </is>
      </c>
    </row>
    <row r="2">
      <c r="A2" s="2" t="inlineStr">
        <is>
          <t>Where every dollar in the brokerage came from and where it sits today.</t>
        </is>
      </c>
    </row>
    <row r="4" ht="38" customHeight="1">
      <c r="A4" s="38" t="inlineStr">
        <is>
          <t>Party</t>
        </is>
      </c>
      <c r="B4" s="38" t="inlineStr">
        <is>
          <t>Capital Contributed</t>
        </is>
      </c>
      <c r="C4" s="38" t="inlineStr">
        <is>
          <t>Mar 31 Balance (= Apr 1 Beg)</t>
        </is>
      </c>
      <c r="D4" s="38" t="inlineStr">
        <is>
          <t>+ Apr Activity (net of fees)</t>
        </is>
      </c>
      <c r="E4" s="38" t="inlineStr">
        <is>
          <t>+ May Wire (advance)</t>
        </is>
      </c>
      <c r="F4" s="38" t="inlineStr">
        <is>
          <t>Current Balance (May 1)</t>
        </is>
      </c>
    </row>
    <row r="5">
      <c r="A5" s="30" t="inlineStr">
        <is>
          <t>Bliss Investments LLC</t>
        </is>
      </c>
      <c r="B5" s="9" t="n">
        <v>500000</v>
      </c>
      <c r="C5" s="9" t="n">
        <v>508472</v>
      </c>
      <c r="D5" s="9" t="n">
        <v>16636.19</v>
      </c>
      <c r="E5" s="9" t="n">
        <v>0</v>
      </c>
      <c r="F5" s="9" t="n">
        <v>525108.1899999999</v>
      </c>
    </row>
    <row r="6">
      <c r="A6" s="30" t="inlineStr">
        <is>
          <t>JJNA, LLC</t>
        </is>
      </c>
      <c r="B6" s="9" t="n">
        <v>8000000</v>
      </c>
      <c r="C6" s="9" t="n">
        <v>8020000</v>
      </c>
      <c r="D6" s="9" t="n">
        <v>262398.36</v>
      </c>
      <c r="E6" s="9" t="n">
        <v>0</v>
      </c>
      <c r="F6" s="9" t="n">
        <v>8282398.36</v>
      </c>
    </row>
    <row r="7">
      <c r="A7" s="39" t="inlineStr">
        <is>
          <t>New May Investors</t>
        </is>
      </c>
      <c r="B7" s="40" t="n">
        <v>1499728</v>
      </c>
      <c r="C7" s="40" t="n">
        <v>0</v>
      </c>
      <c r="D7" s="40" t="n">
        <v>0</v>
      </c>
      <c r="E7" s="40" t="n">
        <v>1499728</v>
      </c>
      <c r="F7" s="40" t="n">
        <v>1499728</v>
      </c>
    </row>
    <row r="8">
      <c r="A8" s="32" t="inlineStr">
        <is>
          <t>TruQuant (accrued payable)</t>
        </is>
      </c>
      <c r="B8" s="19" t="n">
        <v>0</v>
      </c>
      <c r="C8" s="19" t="n">
        <v>0</v>
      </c>
      <c r="D8" s="19" t="n">
        <v>87502.12</v>
      </c>
      <c r="E8" s="19" t="n">
        <v>0</v>
      </c>
      <c r="F8" s="19" t="n">
        <v>87502.12</v>
      </c>
    </row>
    <row r="9">
      <c r="A9" s="35" t="inlineStr">
        <is>
          <t>Innovations GP (accrued)</t>
        </is>
      </c>
      <c r="B9" s="25" t="n">
        <v>0</v>
      </c>
      <c r="C9" s="25" t="n">
        <v>3720</v>
      </c>
      <c r="D9" s="25" t="n">
        <v>119586.23</v>
      </c>
      <c r="E9" s="25" t="n">
        <v>0</v>
      </c>
      <c r="F9" s="25" t="n">
        <v>123306.23</v>
      </c>
    </row>
    <row r="10">
      <c r="A10" s="4" t="inlineStr">
        <is>
          <t>Bank-fee cash carry</t>
        </is>
      </c>
      <c r="B10" s="41" t="n">
        <v>0</v>
      </c>
      <c r="C10" s="41" t="n">
        <v>-135.9</v>
      </c>
      <c r="D10" s="41" t="n">
        <v>0</v>
      </c>
      <c r="E10" s="41" t="n">
        <v>0</v>
      </c>
      <c r="F10" s="41" t="n">
        <v>-135.9</v>
      </c>
    </row>
    <row r="11">
      <c r="A11" s="12" t="inlineStr">
        <is>
          <t>TOTAL ATTRIBUTED</t>
        </is>
      </c>
      <c r="B11" s="13">
        <f>SUM(B5:B10)</f>
        <v/>
      </c>
      <c r="C11" s="13">
        <f>SUM(C5:C10)</f>
        <v/>
      </c>
      <c r="D11" s="13">
        <f>SUM(D5:D10)</f>
        <v/>
      </c>
      <c r="E11" s="13">
        <f>SUM(E5:E10)</f>
        <v/>
      </c>
      <c r="F11" s="13">
        <f>SUM(F5:F10)</f>
        <v/>
      </c>
    </row>
    <row r="12">
      <c r="A12" s="15" t="inlineStr">
        <is>
          <t>Brokerage actual (live)</t>
        </is>
      </c>
      <c r="B12" s="42" t="n"/>
      <c r="C12" s="42" t="n"/>
      <c r="D12" s="42" t="n"/>
      <c r="E12" s="42" t="n"/>
      <c r="F12" s="16" t="n">
        <v>10519780</v>
      </c>
    </row>
    <row r="13">
      <c r="A13" s="15" t="inlineStr">
        <is>
          <t>LEFTOVER (≈1 day fund growth)</t>
        </is>
      </c>
      <c r="B13" s="42" t="n"/>
      <c r="C13" s="42" t="n"/>
      <c r="D13" s="42" t="n"/>
      <c r="E13" s="42" t="n"/>
      <c r="F13" s="16">
        <f>F12-F11</f>
        <v/>
      </c>
    </row>
    <row r="15">
      <c r="A15" s="43" t="inlineStr">
        <is>
          <t>Tie-out:  Mar 31 base + Apr activity + May advance = Current Balance</t>
        </is>
      </c>
    </row>
    <row r="16">
      <c r="A16">
        <f>C11&amp;" + "&amp;D11&amp;" + "&amp;E11&amp;" = "&amp;F11</f>
        <v/>
      </c>
    </row>
  </sheetData>
  <mergeCells count="4">
    <mergeCell ref="A2:F2"/>
    <mergeCell ref="A16:F16"/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2026-05-01T17:55:56Z</dcterms:created>
  <dcterms:modified xmlns:dcterms="http://purl.org/dc/terms/" xmlns:xsi="http://www.w3.org/2001/XMLSchema-instance" xsi:type="dcterms:W3CDTF">2026-05-01T21:16:45Z</dcterms:modified>
</cp:coreProperties>
</file>